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svenhohne/Downloads/"/>
    </mc:Choice>
  </mc:AlternateContent>
  <xr:revisionPtr revIDLastSave="0" documentId="13_ncr:1_{6E794136-6F82-C549-8C98-F6D5FD7A6AF8}" xr6:coauthVersionLast="47" xr6:coauthVersionMax="47" xr10:uidLastSave="{00000000-0000-0000-0000-000000000000}"/>
  <bookViews>
    <workbookView xWindow="0" yWindow="600" windowWidth="68800" windowHeight="26680" tabRatio="500" activeTab="5" xr2:uid="{00000000-000D-0000-FFFF-FFFF00000000}"/>
  </bookViews>
  <sheets>
    <sheet name="📋 Anleitung" sheetId="1" r:id="rId1"/>
    <sheet name="📥 Rohdaten" sheetId="2" r:id="rId2"/>
    <sheet name="🧮 TIPR Score" sheetId="3" r:id="rId3"/>
    <sheet name="🚨 Hoarder &amp; Waster" sheetId="4" r:id="rId4"/>
    <sheet name="🏆 Top Prioritäten" sheetId="5" r:id="rId5"/>
    <sheet name="📈 Dashboard" sheetId="6" r:id="rId6"/>
  </sheets>
  <definedNames>
    <definedName name="_xlnm.Print_Area" localSheetId="4">'🏆 Top Prioritäten'!$B$1:$I$24</definedName>
    <definedName name="_xlnm.Print_Area" localSheetId="5">'📈 Dashboard'!$B$1:$H$22</definedName>
    <definedName name="_xlnm.Print_Area" localSheetId="0">'📋 Anleitung'!$B$2:$D$29</definedName>
    <definedName name="_xlnm.Print_Area" localSheetId="1">'📥 Rohdaten'!$B$2:$I$36</definedName>
    <definedName name="_xlnm.Print_Area" localSheetId="2">'🧮 TIPR Score'!$B$2:$K$33</definedName>
    <definedName name="_xlnm.Print_Area" localSheetId="3">'🚨 Hoarder &amp; Waster'!$B$4:$I$22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33" i="3" l="1"/>
  <c r="K33" i="3" s="1"/>
  <c r="E33" i="3"/>
  <c r="D33" i="3"/>
  <c r="C33" i="3"/>
  <c r="F33" i="3" s="1"/>
  <c r="B33" i="3"/>
  <c r="J32" i="3"/>
  <c r="K32" i="3" s="1"/>
  <c r="I32" i="3"/>
  <c r="H32" i="3"/>
  <c r="G32" i="3"/>
  <c r="F32" i="3"/>
  <c r="E32" i="3"/>
  <c r="D32" i="3"/>
  <c r="C32" i="3"/>
  <c r="B32" i="3"/>
  <c r="J31" i="3"/>
  <c r="K31" i="3" s="1"/>
  <c r="I31" i="3"/>
  <c r="H31" i="3"/>
  <c r="G31" i="3"/>
  <c r="F31" i="3"/>
  <c r="E31" i="3"/>
  <c r="D31" i="3"/>
  <c r="C31" i="3"/>
  <c r="B31" i="3"/>
  <c r="J30" i="3"/>
  <c r="K30" i="3" s="1"/>
  <c r="I30" i="3"/>
  <c r="H30" i="3"/>
  <c r="G30" i="3"/>
  <c r="F30" i="3"/>
  <c r="E30" i="3"/>
  <c r="D30" i="3"/>
  <c r="C30" i="3"/>
  <c r="B30" i="3"/>
  <c r="J29" i="3"/>
  <c r="K29" i="3" s="1"/>
  <c r="I29" i="3"/>
  <c r="H29" i="3"/>
  <c r="G29" i="3"/>
  <c r="F29" i="3"/>
  <c r="E29" i="3"/>
  <c r="D29" i="3"/>
  <c r="C29" i="3"/>
  <c r="B29" i="3"/>
  <c r="J28" i="3"/>
  <c r="K28" i="3" s="1"/>
  <c r="I28" i="3"/>
  <c r="H28" i="3"/>
  <c r="G28" i="3"/>
  <c r="F28" i="3"/>
  <c r="E28" i="3"/>
  <c r="D28" i="3"/>
  <c r="C28" i="3"/>
  <c r="B28" i="3"/>
  <c r="J27" i="3"/>
  <c r="K27" i="3" s="1"/>
  <c r="I27" i="3"/>
  <c r="H27" i="3"/>
  <c r="G27" i="3"/>
  <c r="F27" i="3"/>
  <c r="E27" i="3"/>
  <c r="D27" i="3"/>
  <c r="C27" i="3"/>
  <c r="B27" i="3"/>
  <c r="J26" i="3"/>
  <c r="K26" i="3" s="1"/>
  <c r="E26" i="3"/>
  <c r="D26" i="3"/>
  <c r="C26" i="3"/>
  <c r="F26" i="3" s="1"/>
  <c r="B26" i="3"/>
  <c r="J25" i="3"/>
  <c r="K25" i="3" s="1"/>
  <c r="E25" i="3"/>
  <c r="D25" i="3"/>
  <c r="C25" i="3"/>
  <c r="F25" i="3" s="1"/>
  <c r="B25" i="3"/>
  <c r="J24" i="3"/>
  <c r="K24" i="3" s="1"/>
  <c r="E24" i="3"/>
  <c r="D24" i="3"/>
  <c r="C24" i="3"/>
  <c r="F24" i="3" s="1"/>
  <c r="B24" i="3"/>
  <c r="J23" i="3"/>
  <c r="K23" i="3" s="1"/>
  <c r="E23" i="3"/>
  <c r="D23" i="3"/>
  <c r="C23" i="3"/>
  <c r="F23" i="3" s="1"/>
  <c r="B23" i="3"/>
  <c r="J22" i="3"/>
  <c r="K22" i="3" s="1"/>
  <c r="E22" i="3"/>
  <c r="D22" i="3"/>
  <c r="C22" i="3"/>
  <c r="F22" i="3" s="1"/>
  <c r="B22" i="3"/>
  <c r="J21" i="3"/>
  <c r="K21" i="3" s="1"/>
  <c r="E21" i="3"/>
  <c r="D21" i="3"/>
  <c r="C21" i="3"/>
  <c r="F21" i="3" s="1"/>
  <c r="B21" i="3"/>
  <c r="J20" i="3"/>
  <c r="E20" i="3"/>
  <c r="D20" i="3"/>
  <c r="C20" i="3"/>
  <c r="F20" i="3" s="1"/>
  <c r="B20" i="3"/>
  <c r="J19" i="3"/>
  <c r="K19" i="3" s="1"/>
  <c r="E19" i="3"/>
  <c r="D19" i="3"/>
  <c r="C19" i="3"/>
  <c r="F19" i="3" s="1"/>
  <c r="B19" i="3"/>
  <c r="J18" i="3"/>
  <c r="E18" i="3"/>
  <c r="D18" i="3"/>
  <c r="C18" i="3"/>
  <c r="F18" i="3" s="1"/>
  <c r="B18" i="3"/>
  <c r="J17" i="3"/>
  <c r="K17" i="3" s="1"/>
  <c r="E17" i="3"/>
  <c r="D17" i="3"/>
  <c r="C17" i="3"/>
  <c r="F17" i="3" s="1"/>
  <c r="B17" i="3"/>
  <c r="J16" i="3"/>
  <c r="E16" i="3"/>
  <c r="D16" i="3"/>
  <c r="C16" i="3"/>
  <c r="F16" i="3" s="1"/>
  <c r="B16" i="3"/>
  <c r="J15" i="3"/>
  <c r="E15" i="3"/>
  <c r="D15" i="3"/>
  <c r="C15" i="3"/>
  <c r="F15" i="3" s="1"/>
  <c r="B15" i="3"/>
  <c r="J14" i="3"/>
  <c r="E14" i="3"/>
  <c r="D14" i="3"/>
  <c r="C14" i="3"/>
  <c r="F14" i="3" s="1"/>
  <c r="B14" i="3"/>
  <c r="J13" i="3"/>
  <c r="K13" i="3" s="1"/>
  <c r="E13" i="3"/>
  <c r="D13" i="3"/>
  <c r="C13" i="3"/>
  <c r="F13" i="3" s="1"/>
  <c r="B13" i="3"/>
  <c r="J12" i="3"/>
  <c r="E12" i="3"/>
  <c r="D12" i="3"/>
  <c r="C12" i="3"/>
  <c r="F12" i="3" s="1"/>
  <c r="B12" i="3"/>
  <c r="J11" i="3"/>
  <c r="K11" i="3" s="1"/>
  <c r="E11" i="3"/>
  <c r="D11" i="3"/>
  <c r="C11" i="3"/>
  <c r="F11" i="3" s="1"/>
  <c r="B11" i="3"/>
  <c r="J10" i="3"/>
  <c r="E10" i="3"/>
  <c r="D10" i="3"/>
  <c r="C10" i="3"/>
  <c r="F10" i="3" s="1"/>
  <c r="B10" i="3"/>
  <c r="J9" i="3"/>
  <c r="K9" i="3" s="1"/>
  <c r="E9" i="3"/>
  <c r="D9" i="3"/>
  <c r="C9" i="3"/>
  <c r="F9" i="3" s="1"/>
  <c r="B9" i="3"/>
  <c r="J8" i="3"/>
  <c r="E8" i="3"/>
  <c r="D8" i="3"/>
  <c r="C8" i="3"/>
  <c r="F8" i="3" s="1"/>
  <c r="B8" i="3"/>
  <c r="J7" i="3"/>
  <c r="K7" i="3" s="1"/>
  <c r="E7" i="3"/>
  <c r="D7" i="3"/>
  <c r="C7" i="3"/>
  <c r="F7" i="3" s="1"/>
  <c r="B7" i="3"/>
  <c r="J6" i="3"/>
  <c r="E6" i="3"/>
  <c r="D6" i="3"/>
  <c r="C6" i="3"/>
  <c r="F6" i="3" s="1"/>
  <c r="B6" i="3"/>
  <c r="J5" i="3"/>
  <c r="K5" i="3" s="1"/>
  <c r="E5" i="3"/>
  <c r="D5" i="3"/>
  <c r="C5" i="3"/>
  <c r="F5" i="3" s="1"/>
  <c r="B5" i="3"/>
  <c r="J4" i="3"/>
  <c r="E4" i="3"/>
  <c r="D4" i="3"/>
  <c r="C4" i="3"/>
  <c r="F4" i="3" s="1"/>
  <c r="B4" i="3"/>
  <c r="H10" i="3" l="1"/>
  <c r="I10" i="3"/>
  <c r="G10" i="3"/>
  <c r="H14" i="3"/>
  <c r="I14" i="3"/>
  <c r="G14" i="3"/>
  <c r="H16" i="3"/>
  <c r="I16" i="3"/>
  <c r="G16" i="3"/>
  <c r="H20" i="3"/>
  <c r="I20" i="3"/>
  <c r="G20" i="3"/>
  <c r="H22" i="3"/>
  <c r="I22" i="3"/>
  <c r="G22" i="3"/>
  <c r="H24" i="3"/>
  <c r="I24" i="3"/>
  <c r="G24" i="3"/>
  <c r="H26" i="3"/>
  <c r="I26" i="3"/>
  <c r="G26" i="3"/>
  <c r="K4" i="3"/>
  <c r="K8" i="3"/>
  <c r="K12" i="3"/>
  <c r="K16" i="3"/>
  <c r="K20" i="3"/>
  <c r="H15" i="3"/>
  <c r="G15" i="3"/>
  <c r="I15" i="3"/>
  <c r="K15" i="3"/>
  <c r="H4" i="3"/>
  <c r="G4" i="3"/>
  <c r="I4" i="3"/>
  <c r="H6" i="3"/>
  <c r="G6" i="3"/>
  <c r="I6" i="3"/>
  <c r="H8" i="3"/>
  <c r="G8" i="3"/>
  <c r="I8" i="3"/>
  <c r="H12" i="3"/>
  <c r="G12" i="3"/>
  <c r="I12" i="3"/>
  <c r="H18" i="3"/>
  <c r="I18" i="3"/>
  <c r="G18" i="3"/>
  <c r="K6" i="3"/>
  <c r="K10" i="3"/>
  <c r="K14" i="3"/>
  <c r="K18" i="3"/>
  <c r="H5" i="3"/>
  <c r="G5" i="3"/>
  <c r="I5" i="3"/>
  <c r="H7" i="3"/>
  <c r="I7" i="3"/>
  <c r="G7" i="3"/>
  <c r="H9" i="3"/>
  <c r="G9" i="3"/>
  <c r="I9" i="3"/>
  <c r="H11" i="3"/>
  <c r="G11" i="3"/>
  <c r="I11" i="3"/>
  <c r="H13" i="3"/>
  <c r="G13" i="3"/>
  <c r="I13" i="3"/>
  <c r="H17" i="3"/>
  <c r="G17" i="3"/>
  <c r="I17" i="3"/>
  <c r="H19" i="3"/>
  <c r="G19" i="3"/>
  <c r="I19" i="3"/>
  <c r="H21" i="3"/>
  <c r="G21" i="3"/>
  <c r="I21" i="3"/>
  <c r="H23" i="3"/>
  <c r="G23" i="3"/>
  <c r="I23" i="3"/>
  <c r="H25" i="3"/>
  <c r="G25" i="3"/>
  <c r="I25" i="3"/>
  <c r="I33" i="3"/>
  <c r="H33" i="3"/>
  <c r="G33" i="3"/>
</calcChain>
</file>

<file path=xl/sharedStrings.xml><?xml version="1.0" encoding="utf-8"?>
<sst xmlns="http://schemas.openxmlformats.org/spreadsheetml/2006/main" count="330" uniqueCount="148">
  <si>
    <t>TIPR PRO — fairbeamtet.de</t>
  </si>
  <si>
    <t>True Internal PageRank · Verbesserte Version basierend auf Kevin Indig</t>
  </si>
  <si>
    <t>🎯 WAS IST TIPR PRO?</t>
  </si>
  <si>
    <t>Grundprinzip:</t>
  </si>
  <si>
    <t>TIPR analysiert den PageRank-Fluss deiner Website. Jede Seite empfängt Autorität (Inlinks) und gibt sie weiter (Outlinks). Das Ziel: optimale Verteilung — kein Horten, kein Verschwenden.</t>
  </si>
  <si>
    <t>Verbesserung vs. Lite:</t>
  </si>
  <si>
    <t>TIPR PRO ergänzt das Indig-Modell um einen gewichteten Gesamt-Score, eine Seitentyp-Klassifikation, Prioritätsstufen und direkte Handlungsempfehlungen.</t>
  </si>
  <si>
    <t>📊 DEINE 5 SHEETS</t>
  </si>
  <si>
    <t>📥 Rohdaten</t>
  </si>
  <si>
    <t>Hier trägst du deine exportierten Daten ein (Screaming Frog + Ahrefs). Pflichtfelder gelb markiert.</t>
  </si>
  <si>
    <t>🧮 TIPR Score</t>
  </si>
  <si>
    <t>Automatische Berechnung: Delta, Gewichteter Score, Klassifikation. Hier passiert die Magie.</t>
  </si>
  <si>
    <t>🚨 Hoarder &amp; Waster</t>
  </si>
  <si>
    <t>Gefilterte Prioritätenlisten mit konkreten Handlungsempfehlungen.</t>
  </si>
  <si>
    <t>🏆 Top Prioritäten</t>
  </si>
  <si>
    <t>Die 20 wichtigsten URLs zum Anpacken — sortiert nach Impact.</t>
  </si>
  <si>
    <t>📈 Dashboard</t>
  </si>
  <si>
    <t>Übersicht: Verteilung, Gesundheitsscore deiner Site.</t>
  </si>
  <si>
    <t>🔧 SO NUTZT DU DAS MODELL</t>
  </si>
  <si>
    <t>Schritt 1:</t>
  </si>
  <si>
    <t>Screaming Frog → Tab 'Internal' → HTML → Export CSV</t>
  </si>
  <si>
    <t>Schritt 2:</t>
  </si>
  <si>
    <t>Ahrefs → Site Explorer → Organische Suche → Top Seiten → Export CSV</t>
  </si>
  <si>
    <t>Schritt 3:</t>
  </si>
  <si>
    <t>Daten in Sheet '📥 Rohdaten' eintragen (Spalten A bis G)</t>
  </si>
  <si>
    <t>Schritt 4:</t>
  </si>
  <si>
    <t>Sheet '🧮 TIPR Score' öffnen — Scores werden automatisch berechnet</t>
  </si>
  <si>
    <t>Schritt 5:</t>
  </si>
  <si>
    <t>Sheet '🚨 Hoarder &amp; Waster' für konkrete Aktionsliste nutzen</t>
  </si>
  <si>
    <t>Schritt 6:</t>
  </si>
  <si>
    <t>Mindestens 1x pro Quartal wiederholen</t>
  </si>
  <si>
    <t>⚡ VERBESSERUNGEN vs. TIPR LITE</t>
  </si>
  <si>
    <t>Gewichteter Score:</t>
  </si>
  <si>
    <t>UR-Wert (Backlink-Stärke) fließt als Multiplikator ein — nicht nur simpler Delta</t>
  </si>
  <si>
    <t>Seitentypen:</t>
  </si>
  <si>
    <t>Klassifikation nach URL-Pattern: PKV, BUV, Blog, Kategorie, Sonstige</t>
  </si>
  <si>
    <t>Prioritätsstufen:</t>
  </si>
  <si>
    <t>P1 (sofort) / P2 (diese Woche) / P3 (diesen Monat) — klar priorisiert</t>
  </si>
  <si>
    <t>Gesundheits-Score:</t>
  </si>
  <si>
    <t>Ein einziger Wert (0-100) zeigt den Gesamtzustand deiner internen Verlinkung</t>
  </si>
  <si>
    <t>Empfehlungen:</t>
  </si>
  <si>
    <t>Jede Seite bekommt eine konkrete Handlungsanweisung</t>
  </si>
  <si>
    <t>📥 ROHDATEN — Screaming Frog + Ahrefs</t>
  </si>
  <si>
    <t>URL</t>
  </si>
  <si>
    <t>Inlinks
(SF)</t>
  </si>
  <si>
    <t>Outlinks
(SF)</t>
  </si>
  <si>
    <t>UR
(Ahrefs)</t>
  </si>
  <si>
    <t>Backlinks
(Ahrefs)</t>
  </si>
  <si>
    <t>Ref-Domains
(Ahrefs)</t>
  </si>
  <si>
    <t>Seitentyp
(manuell)</t>
  </si>
  <si>
    <t>Notizen</t>
  </si>
  <si>
    <t>https://www.fairbeamtet.de/</t>
  </si>
  <si>
    <t>Startseite</t>
  </si>
  <si>
    <t>https://www.fairbeamtet.de/pkv-beamte/</t>
  </si>
  <si>
    <t>PKV</t>
  </si>
  <si>
    <t>https://www.fairbeamtet.de/pkv-beamte-vergleich/</t>
  </si>
  <si>
    <t>https://www.fairbeamtet.de/beamte-krankenversicherung/</t>
  </si>
  <si>
    <t>https://www.fairbeamtet.de/buv-beamte/</t>
  </si>
  <si>
    <t>BUV</t>
  </si>
  <si>
    <t>https://www.fairbeamtet.de/dienstunfaehigkeitsversicherung/</t>
  </si>
  <si>
    <t>https://www.fairbeamtet.de/beamtenrecht/</t>
  </si>
  <si>
    <t>Blog</t>
  </si>
  <si>
    <t>https://www.fairbeamtet.de/beihilfe-beamte/</t>
  </si>
  <si>
    <t>https://www.fairbeamtet.de/pkv-kosten-beamte/</t>
  </si>
  <si>
    <t>https://www.fairbeamtet.de/blog/</t>
  </si>
  <si>
    <t>Kategorie</t>
  </si>
  <si>
    <t>https://www.fairbeamtet.de/referendariat-krankenversicherung/</t>
  </si>
  <si>
    <t>https://www.fairbeamtet.de/anwärter-pkv/</t>
  </si>
  <si>
    <t>https://www.fairbeamtet.de/lehrer-pkv/</t>
  </si>
  <si>
    <t>https://www.fairbeamtet.de/polizei-krankenversicherung/</t>
  </si>
  <si>
    <t>https://www.fairbeamtet.de/ruhestand-pkv/</t>
  </si>
  <si>
    <t>https://www.fairbeamtet.de/pkv-wechsel-beamte/</t>
  </si>
  <si>
    <t>https://www.fairbeamtet.de/beamtenstatus-pkv/</t>
  </si>
  <si>
    <t>https://www.fairbeamtet.de/blog/pkv-vorteile-beamte/</t>
  </si>
  <si>
    <t>https://www.fairbeamtet.de/blog/beihilfe-erklaert/</t>
  </si>
  <si>
    <t>https://www.fairbeamtet.de/kontakt/</t>
  </si>
  <si>
    <t>Sonstige</t>
  </si>
  <si>
    <t>https://www.fairbeamtet.de/ueber-uns/</t>
  </si>
  <si>
    <t>https://www.fairbeamtet.de/impressum/</t>
  </si>
  <si>
    <t>https://www.fairbeamtet.de/datenschutz/</t>
  </si>
  <si>
    <t>https://www.fairbeamtet.de/buv-kosten/</t>
  </si>
  <si>
    <t>https://www.fairbeamtet.de/berufsunfaehigkeit-beamte/</t>
  </si>
  <si>
    <t>https://www.fairbeamtet.de/pkv-beamte-angehoerige/</t>
  </si>
  <si>
    <t>https://www.fairbeamtet.de/pkv-selbstbeteiligung/</t>
  </si>
  <si>
    <t>https://www.fairbeamtet.de/blog/buv-wichtig/</t>
  </si>
  <si>
    <t>https://www.fairbeamtet.de/glossar/beihilfe/</t>
  </si>
  <si>
    <t>https://www.fairbeamtet.de/glossar/pkv/</t>
  </si>
  <si>
    <t>⚠️  WICHTIG: Ersetze die Beispieldaten durch deine echten Screaming Frog + Ahrefs Exports. Füge Zeilen ein wie benötigt — alle Formeln in Sheet '🧮 TIPR Score' passen sich automatisch an.</t>
  </si>
  <si>
    <t>🧮 TIPR SCORE — Automatische Berechnung &amp; Klassifikation</t>
  </si>
  <si>
    <t>Inlinks</t>
  </si>
  <si>
    <t>Outlinks</t>
  </si>
  <si>
    <t>UR</t>
  </si>
  <si>
    <t>Delta
(In-Out)</t>
  </si>
  <si>
    <t>Gewichteter
Score</t>
  </si>
  <si>
    <t>Typ-
Klassifikation</t>
  </si>
  <si>
    <t>Priorität</t>
  </si>
  <si>
    <t>Seitentyp</t>
  </si>
  <si>
    <t>Empfehlung</t>
  </si>
  <si>
    <t>🚨 HOARDER &amp; WASTER — Probleme &amp; Handlungsfelder</t>
  </si>
  <si>
    <t>🔥 HOARDER — Seiten, die PageRank horten (viele Inlinks, wenige Outlinks)</t>
  </si>
  <si>
    <t>Delta</t>
  </si>
  <si>
    <t>Gew. Score</t>
  </si>
  <si>
    <t>Was tun?</t>
  </si>
  <si>
    <t>🟡 P2</t>
  </si>
  <si>
    <t>Sofort: 3-5 neue interne Links auf Priority-Pages setzen</t>
  </si>
  <si>
    <t>Diese Woche: 1-2 gezielte interne Links ergänzen</t>
  </si>
  <si>
    <t>⚠️ WASTER — Seiten, die PageRank verschwenden (wenige Inlinks, viele Outlinks)</t>
  </si>
  <si>
    <t>🔴 P1</t>
  </si>
  <si>
    <t>Outlinks reduzieren ODER mehr interne Links auf diese Seite setzen</t>
  </si>
  <si>
    <t>Prüfen ob alle Outlinks wirklich notwendig sind</t>
  </si>
  <si>
    <t>🏆 TOP PRIORITÄTEN — Sofortmaßnahmen für fairbeamtet.de</t>
  </si>
  <si>
    <t>Sortiert nach absolut höchstem Handlungsbedarf (P1 zuerst). Beginne immer oben.</t>
  </si>
  <si>
    <t>#</t>
  </si>
  <si>
    <t>Typ</t>
  </si>
  <si>
    <t>Konkrete Aktion</t>
  </si>
  <si>
    <t>⚠️ WASTER</t>
  </si>
  <si>
    <t>JETZT: Mehr interne Links auf diese URL setzen (aus PKV/BUV-Seiten)</t>
  </si>
  <si>
    <t>🔥 HOARDER</t>
  </si>
  <si>
    <t>DIESE WOCHE: 1-2 Outlinks auf Conversion-Seiten ergänzen</t>
  </si>
  <si>
    <t>🟢 P3</t>
  </si>
  <si>
    <t>DIESE WOCHE: Outlinks dieser Seite prüfen und ggf. kürzen</t>
  </si>
  <si>
    <t>✅ OK</t>
  </si>
  <si>
    <t>Beobachten — kein sofortiger Handlungsbedarf</t>
  </si>
  <si>
    <t>📈 DASHBOARD — TIPR Gesundheitsstatus fairbeamtet.de</t>
  </si>
  <si>
    <t>Seiten gesamt</t>
  </si>
  <si>
    <t>🔥 Hoarder</t>
  </si>
  <si>
    <t>⚠️ Waster</t>
  </si>
  <si>
    <t>✅ Ausgewogen</t>
  </si>
  <si>
    <t>🔴 P1 Actions</t>
  </si>
  <si>
    <t>Gesundheits-Score</t>
  </si>
  <si>
    <t>53%</t>
  </si>
  <si>
    <t>📊 VERTEILUNG NACH SEITENTYP</t>
  </si>
  <si>
    <t>Gesamt</t>
  </si>
  <si>
    <t>Hoarder</t>
  </si>
  <si>
    <t>Waster</t>
  </si>
  <si>
    <t>OK</t>
  </si>
  <si>
    <t>Status</t>
  </si>
  <si>
    <t>✅ Gut</t>
  </si>
  <si>
    <t>🚨 Kritisch</t>
  </si>
  <si>
    <t>🗓️ EMPFOHLENER AKTIONSPLAN</t>
  </si>
  <si>
    <t>🔴 Sofort (diese Woche)</t>
  </si>
  <si>
    <t>P1-Hoarder outlinken: interne Links auf PKV-Vergleich, BUV-Beratung, Kontakt setzen</t>
  </si>
  <si>
    <t>🟡 Kurzfristig (diesen Monat)</t>
  </si>
  <si>
    <t>P1-Waster fixen: mehr interne Links auf schwache Seiten mit Potenzial</t>
  </si>
  <si>
    <t>🟢 Mittelfristig (Quartal)</t>
  </si>
  <si>
    <t>P2-Seiten adressieren, Blog-Posts mit internen Links zu Conversion-Seiten stärken</t>
  </si>
  <si>
    <t>📊 Monitoring</t>
  </si>
  <si>
    <t>Analyse alle 3 Monate wiederholen — neue Seiten ergänzen, Screaming Frog neu crawlen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</si>
</sst>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+#,##0;\-#,##0;0"/>
    <numFmt numFmtId="165" formatCode="\+0.0;\-0.0;0.0"/>
  </numFmts>
  <fonts count="23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b/>
      <sz val="11"/>
      <color rgb="FFFFFFFF"/>
      <name val="Arial"/>
      <charset val="1"/>
    </font>
    <font>
      <b/>
      <sz val="14"/>
      <color rgb="FFFFFFFF"/>
      <name val="Arial"/>
      <charset val="1"/>
    </font>
    <font>
      <b/>
      <sz val="22"/>
      <color rgb="FFFFFFFF"/>
      <name val="Arial"/>
      <charset val="1"/>
    </font>
    <font>
      <b/>
      <sz val="14"/>
      <color rgb="FF0F4C75"/>
      <name val="Arial"/>
      <family val="2"/>
    </font>
    <font>
      <sz val="14"/>
      <color rgb="FF1A1A2E"/>
      <name val="Arial"/>
      <family val="2"/>
    </font>
    <font>
      <b/>
      <sz val="16"/>
      <color rgb="FFFFFFFF"/>
      <name val="Arial"/>
      <family val="2"/>
    </font>
    <font>
      <sz val="16"/>
      <color theme="1"/>
      <name val="Calibri"/>
      <family val="2"/>
      <charset val="1"/>
    </font>
    <font>
      <i/>
      <sz val="14"/>
      <color rgb="FF1B98E0"/>
      <name val="Arial"/>
      <family val="2"/>
    </font>
    <font>
      <sz val="14"/>
      <color rgb="FF0F4C75"/>
      <name val="Arial"/>
      <family val="2"/>
    </font>
    <font>
      <b/>
      <sz val="14"/>
      <color rgb="FF1A1A2E"/>
      <name val="Arial"/>
      <family val="2"/>
    </font>
    <font>
      <sz val="14"/>
      <color theme="1"/>
      <name val="Calibri"/>
      <family val="2"/>
      <charset val="1"/>
    </font>
    <font>
      <i/>
      <sz val="14"/>
      <color rgb="FF1A1A2E"/>
      <name val="Arial"/>
      <family val="2"/>
    </font>
    <font>
      <b/>
      <sz val="14"/>
      <color rgb="FFFFFFFF"/>
      <name val="Arial"/>
      <family val="2"/>
    </font>
    <font>
      <b/>
      <sz val="14"/>
      <color rgb="FFE63946"/>
      <name val="Arial"/>
      <family val="2"/>
    </font>
    <font>
      <i/>
      <sz val="14"/>
      <color rgb="FF6E7781"/>
      <name val="Arial"/>
      <family val="2"/>
    </font>
    <font>
      <b/>
      <sz val="14"/>
      <color rgb="FF2DC653"/>
      <name val="Arial"/>
      <family val="2"/>
    </font>
    <font>
      <b/>
      <sz val="18"/>
      <color rgb="FFFFFFFF"/>
      <name val="Arial"/>
      <family val="2"/>
    </font>
    <font>
      <sz val="14"/>
      <color rgb="FFF4722B"/>
      <name val="Arial"/>
      <family val="2"/>
    </font>
    <font>
      <sz val="14"/>
      <color rgb="FF2DC653"/>
      <name val="Arial"/>
      <family val="2"/>
    </font>
    <font>
      <sz val="14"/>
      <color rgb="FFE63946"/>
      <name val="Arial"/>
      <family val="2"/>
    </font>
    <font>
      <b/>
      <sz val="14"/>
      <color rgb="FF6E778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1A1A2E"/>
        <bgColor rgb="FF333300"/>
      </patternFill>
    </fill>
    <fill>
      <patternFill patternType="solid">
        <fgColor rgb="FF0F4C75"/>
        <bgColor rgb="FF333399"/>
      </patternFill>
    </fill>
    <fill>
      <patternFill patternType="solid">
        <fgColor rgb="FFF5F7FA"/>
        <bgColor rgb="FFFFFFFF"/>
      </patternFill>
    </fill>
    <fill>
      <patternFill patternType="solid">
        <fgColor rgb="FFFFFFFF"/>
        <bgColor rgb="FFFFFDE7"/>
      </patternFill>
    </fill>
    <fill>
      <patternFill patternType="solid">
        <fgColor rgb="FFF4A900"/>
        <bgColor rgb="FFFFCC00"/>
      </patternFill>
    </fill>
    <fill>
      <patternFill patternType="solid">
        <fgColor rgb="FF1B98E0"/>
        <bgColor rgb="FF008080"/>
      </patternFill>
    </fill>
    <fill>
      <patternFill patternType="solid">
        <fgColor rgb="FFD0D7DE"/>
        <bgColor rgb="FFF3E5F5"/>
      </patternFill>
    </fill>
    <fill>
      <patternFill patternType="solid">
        <fgColor rgb="FFFCE4EC"/>
        <bgColor rgb="FFFFEBEE"/>
      </patternFill>
    </fill>
    <fill>
      <patternFill patternType="solid">
        <fgColor rgb="FFE3F2FD"/>
        <bgColor rgb="FFE8F5E9"/>
      </patternFill>
    </fill>
    <fill>
      <patternFill patternType="solid">
        <fgColor rgb="FFFFF3E0"/>
        <bgColor rgb="FFFFEBEE"/>
      </patternFill>
    </fill>
    <fill>
      <patternFill patternType="solid">
        <fgColor rgb="FFF3E5F5"/>
        <bgColor rgb="FFFCE4EC"/>
      </patternFill>
    </fill>
    <fill>
      <patternFill patternType="solid">
        <fgColor rgb="FFE8F5E9"/>
        <bgColor rgb="FFE3F2FD"/>
      </patternFill>
    </fill>
    <fill>
      <patternFill patternType="solid">
        <fgColor rgb="FFFFFDE7"/>
        <bgColor rgb="FFFFF3E0"/>
      </patternFill>
    </fill>
    <fill>
      <patternFill patternType="solid">
        <fgColor rgb="FFE63946"/>
        <bgColor rgb="FF993366"/>
      </patternFill>
    </fill>
    <fill>
      <patternFill patternType="solid">
        <fgColor rgb="FFF4722B"/>
        <bgColor rgb="FFFF8080"/>
      </patternFill>
    </fill>
    <fill>
      <patternFill patternType="solid">
        <fgColor rgb="FFFFEBEE"/>
        <bgColor rgb="FFFCE4EC"/>
      </patternFill>
    </fill>
    <fill>
      <patternFill patternType="solid">
        <fgColor rgb="FF2DC653"/>
        <bgColor rgb="FF33CCCC"/>
      </patternFill>
    </fill>
  </fills>
  <borders count="7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D0D7DE"/>
      </left>
      <right/>
      <top style="thin">
        <color rgb="FFD0D7DE"/>
      </top>
      <bottom style="thin">
        <color rgb="FFD0D7D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F4A900"/>
      </left>
      <right/>
      <top style="medium">
        <color rgb="FFF4A900"/>
      </top>
      <bottom style="medium">
        <color rgb="FFF4A9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71">
    <xf numFmtId="0" fontId="0" fillId="0" borderId="0" xfId="0"/>
    <xf numFmtId="3" fontId="4" fillId="3" borderId="6" xfId="0" applyNumberFormat="1" applyFont="1" applyFill="1" applyBorder="1" applyAlignment="1">
      <alignment horizontal="center" vertical="center" wrapText="1"/>
    </xf>
    <xf numFmtId="3" fontId="4" fillId="15" borderId="6" xfId="0" applyNumberFormat="1" applyFont="1" applyFill="1" applyBorder="1" applyAlignment="1">
      <alignment horizontal="center" vertical="center" wrapText="1"/>
    </xf>
    <xf numFmtId="3" fontId="4" fillId="16" borderId="6" xfId="0" applyNumberFormat="1" applyFont="1" applyFill="1" applyBorder="1" applyAlignment="1">
      <alignment horizontal="center" vertical="center" wrapText="1"/>
    </xf>
    <xf numFmtId="3" fontId="4" fillId="18" borderId="6" xfId="0" applyNumberFormat="1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8" fillId="0" borderId="0" xfId="0" applyFont="1"/>
    <xf numFmtId="0" fontId="10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1" fontId="6" fillId="5" borderId="2" xfId="0" applyNumberFormat="1" applyFont="1" applyFill="1" applyBorder="1" applyAlignment="1">
      <alignment horizontal="center" vertical="center" wrapText="1"/>
    </xf>
    <xf numFmtId="3" fontId="6" fillId="5" borderId="2" xfId="0" applyNumberFormat="1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 wrapText="1"/>
    </xf>
    <xf numFmtId="1" fontId="6" fillId="4" borderId="2" xfId="0" applyNumberFormat="1" applyFont="1" applyFill="1" applyBorder="1" applyAlignment="1">
      <alignment horizontal="center" vertical="center" wrapText="1"/>
    </xf>
    <xf numFmtId="3" fontId="6" fillId="4" borderId="2" xfId="0" applyNumberFormat="1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11" fillId="11" borderId="2" xfId="0" applyFont="1" applyFill="1" applyBorder="1" applyAlignment="1">
      <alignment horizontal="center" vertical="center" wrapText="1"/>
    </xf>
    <xf numFmtId="0" fontId="11" fillId="12" borderId="2" xfId="0" applyFont="1" applyFill="1" applyBorder="1" applyAlignment="1">
      <alignment horizontal="center" vertical="center" wrapText="1"/>
    </xf>
    <xf numFmtId="0" fontId="11" fillId="13" borderId="2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2" fillId="0" borderId="0" xfId="0" applyFont="1"/>
    <xf numFmtId="0" fontId="14" fillId="3" borderId="4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14" fillId="7" borderId="4" xfId="0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164" fontId="11" fillId="5" borderId="2" xfId="0" applyNumberFormat="1" applyFont="1" applyFill="1" applyBorder="1" applyAlignment="1">
      <alignment horizontal="center" vertical="center" wrapText="1"/>
    </xf>
    <xf numFmtId="165" fontId="11" fillId="5" borderId="2" xfId="0" applyNumberFormat="1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164" fontId="11" fillId="4" borderId="2" xfId="0" applyNumberFormat="1" applyFont="1" applyFill="1" applyBorder="1" applyAlignment="1">
      <alignment horizontal="center" vertical="center" wrapText="1"/>
    </xf>
    <xf numFmtId="165" fontId="11" fillId="4" borderId="2" xfId="0" applyNumberFormat="1" applyFont="1" applyFill="1" applyBorder="1" applyAlignment="1">
      <alignment horizontal="center" vertical="center" wrapText="1"/>
    </xf>
    <xf numFmtId="164" fontId="15" fillId="4" borderId="2" xfId="0" applyNumberFormat="1" applyFont="1" applyFill="1" applyBorder="1" applyAlignment="1">
      <alignment horizontal="center" vertical="center" wrapText="1"/>
    </xf>
    <xf numFmtId="165" fontId="15" fillId="4" borderId="2" xfId="0" applyNumberFormat="1" applyFont="1" applyFill="1" applyBorder="1" applyAlignment="1">
      <alignment horizontal="center" vertical="center" wrapText="1"/>
    </xf>
    <xf numFmtId="0" fontId="11" fillId="17" borderId="2" xfId="0" applyFont="1" applyFill="1" applyBorder="1" applyAlignment="1">
      <alignment horizontal="center" vertical="center" wrapText="1"/>
    </xf>
    <xf numFmtId="164" fontId="15" fillId="5" borderId="2" xfId="0" applyNumberFormat="1" applyFont="1" applyFill="1" applyBorder="1" applyAlignment="1">
      <alignment horizontal="center" vertical="center" wrapText="1"/>
    </xf>
    <xf numFmtId="165" fontId="15" fillId="5" borderId="2" xfId="0" applyNumberFormat="1" applyFont="1" applyFill="1" applyBorder="1" applyAlignment="1">
      <alignment horizontal="center" vertical="center" wrapText="1"/>
    </xf>
    <xf numFmtId="0" fontId="11" fillId="14" borderId="2" xfId="0" applyFont="1" applyFill="1" applyBorder="1" applyAlignment="1">
      <alignment horizontal="center" vertical="center" wrapText="1"/>
    </xf>
    <xf numFmtId="164" fontId="17" fillId="5" borderId="2" xfId="0" applyNumberFormat="1" applyFont="1" applyFill="1" applyBorder="1" applyAlignment="1">
      <alignment horizontal="center" vertical="center" wrapText="1"/>
    </xf>
    <xf numFmtId="165" fontId="17" fillId="5" borderId="2" xfId="0" applyNumberFormat="1" applyFont="1" applyFill="1" applyBorder="1" applyAlignment="1">
      <alignment horizontal="center" vertical="center" wrapText="1"/>
    </xf>
    <xf numFmtId="164" fontId="17" fillId="4" borderId="2" xfId="0" applyNumberFormat="1" applyFont="1" applyFill="1" applyBorder="1" applyAlignment="1">
      <alignment horizontal="center" vertical="center" wrapText="1"/>
    </xf>
    <xf numFmtId="165" fontId="17" fillId="4" borderId="2" xfId="0" applyNumberFormat="1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left" vertical="center" wrapText="1"/>
    </xf>
    <xf numFmtId="0" fontId="19" fillId="5" borderId="2" xfId="0" applyFont="1" applyFill="1" applyBorder="1" applyAlignment="1">
      <alignment horizontal="center" vertical="center" wrapText="1"/>
    </xf>
    <xf numFmtId="0" fontId="20" fillId="5" borderId="2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left" vertical="center" wrapText="1"/>
    </xf>
    <xf numFmtId="0" fontId="19" fillId="4" borderId="2" xfId="0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center" vertical="center" wrapText="1"/>
    </xf>
    <xf numFmtId="0" fontId="21" fillId="5" borderId="2" xfId="0" applyFont="1" applyFill="1" applyBorder="1" applyAlignment="1">
      <alignment horizontal="center" vertical="center" wrapText="1"/>
    </xf>
    <xf numFmtId="0" fontId="22" fillId="4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13" fillId="14" borderId="5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14" fillId="15" borderId="1" xfId="0" applyFont="1" applyFill="1" applyBorder="1" applyAlignment="1">
      <alignment horizontal="left" vertical="center" wrapText="1"/>
    </xf>
    <xf numFmtId="0" fontId="14" fillId="16" borderId="1" xfId="0" applyFont="1" applyFill="1" applyBorder="1" applyAlignment="1">
      <alignment horizontal="left" vertical="center" wrapText="1"/>
    </xf>
    <xf numFmtId="0" fontId="18" fillId="2" borderId="0" xfId="0" applyFont="1" applyFill="1" applyAlignment="1">
      <alignment horizontal="left" vertical="center" wrapText="1"/>
    </xf>
    <xf numFmtId="0" fontId="16" fillId="4" borderId="0" xfId="0" applyFont="1" applyFill="1" applyAlignment="1">
      <alignment horizontal="left" vertical="center" wrapText="1"/>
    </xf>
    <xf numFmtId="0" fontId="14" fillId="2" borderId="0" xfId="0" applyFont="1" applyFill="1" applyAlignment="1">
      <alignment horizontal="left" vertical="center" wrapText="1"/>
    </xf>
    <xf numFmtId="0" fontId="14" fillId="3" borderId="1" xfId="0" applyFont="1" applyFill="1" applyBorder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98E0"/>
      <rgbColor rgb="FFF3E5F5"/>
      <rgbColor rgb="FF6E7781"/>
      <rgbColor rgb="FF9999FF"/>
      <rgbColor rgb="FFE63946"/>
      <rgbColor rgb="FFFFFDE7"/>
      <rgbColor rgb="FFE3F2FD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5F7FA"/>
      <rgbColor rgb="FFFFF3E0"/>
      <rgbColor rgb="FFFFEBEE"/>
      <rgbColor rgb="FFFF99CC"/>
      <rgbColor rgb="FFCC99FF"/>
      <rgbColor rgb="FFFCE4EC"/>
      <rgbColor rgb="FF3366FF"/>
      <rgbColor rgb="FF33CCCC"/>
      <rgbColor rgb="FF99CC00"/>
      <rgbColor rgb="FFFFCC00"/>
      <rgbColor rgb="FFF4A900"/>
      <rgbColor rgb="FFF4722B"/>
      <rgbColor rgb="FF666699"/>
      <rgbColor rgb="FF969696"/>
      <rgbColor rgb="FF0F4C75"/>
      <rgbColor rgb="FF2DC653"/>
      <rgbColor rgb="FF003300"/>
      <rgbColor rgb="FF333300"/>
      <rgbColor rgb="FF993300"/>
      <rgbColor rgb="FF993366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D29"/>
  <sheetViews>
    <sheetView showGridLines="0" zoomScaleNormal="100" workbookViewId="0">
      <selection activeCell="C29" sqref="B2:D29"/>
    </sheetView>
  </sheetViews>
  <sheetFormatPr baseColWidth="10" defaultColWidth="8.6640625" defaultRowHeight="15" x14ac:dyDescent="0.2"/>
  <cols>
    <col min="1" max="1" width="2" customWidth="1"/>
    <col min="2" max="2" width="24.33203125" bestFit="1" customWidth="1"/>
    <col min="3" max="3" width="96" customWidth="1"/>
    <col min="4" max="4" width="16" customWidth="1"/>
  </cols>
  <sheetData>
    <row r="1" spans="2:4" ht="7.5" customHeight="1" x14ac:dyDescent="0.2"/>
    <row r="2" spans="2:4" ht="24.5" customHeight="1" x14ac:dyDescent="0.2">
      <c r="B2" s="60" t="s">
        <v>0</v>
      </c>
      <c r="C2" s="60"/>
      <c r="D2" s="60"/>
    </row>
    <row r="3" spans="2:4" ht="19.5" customHeight="1" x14ac:dyDescent="0.2">
      <c r="B3" s="61" t="s">
        <v>1</v>
      </c>
      <c r="C3" s="61"/>
      <c r="D3" s="61"/>
    </row>
    <row r="4" spans="2:4" ht="21.75" customHeight="1" x14ac:dyDescent="0.2"/>
    <row r="5" spans="2:4" ht="20" x14ac:dyDescent="0.2">
      <c r="B5" s="59" t="s">
        <v>2</v>
      </c>
      <c r="C5" s="59"/>
      <c r="D5" s="59"/>
    </row>
    <row r="6" spans="2:4" ht="45" customHeight="1" x14ac:dyDescent="0.2">
      <c r="B6" s="6" t="s">
        <v>3</v>
      </c>
      <c r="C6" s="57" t="s">
        <v>4</v>
      </c>
      <c r="D6" s="57"/>
    </row>
    <row r="7" spans="2:4" ht="38" x14ac:dyDescent="0.2">
      <c r="B7" s="6" t="s">
        <v>5</v>
      </c>
      <c r="C7" s="57" t="s">
        <v>6</v>
      </c>
      <c r="D7" s="57"/>
    </row>
    <row r="8" spans="2:4" ht="21.75" customHeight="1" x14ac:dyDescent="0.2"/>
    <row r="9" spans="2:4" s="7" customFormat="1" ht="21" x14ac:dyDescent="0.25">
      <c r="B9" s="59" t="s">
        <v>7</v>
      </c>
      <c r="C9" s="59"/>
      <c r="D9" s="59"/>
    </row>
    <row r="10" spans="2:4" ht="21.75" customHeight="1" x14ac:dyDescent="0.2">
      <c r="B10" s="6" t="s">
        <v>8</v>
      </c>
      <c r="C10" s="57" t="s">
        <v>9</v>
      </c>
      <c r="D10" s="57"/>
    </row>
    <row r="11" spans="2:4" ht="21.75" customHeight="1" x14ac:dyDescent="0.2">
      <c r="B11" s="6" t="s">
        <v>10</v>
      </c>
      <c r="C11" s="57" t="s">
        <v>11</v>
      </c>
      <c r="D11" s="57"/>
    </row>
    <row r="12" spans="2:4" ht="21.75" customHeight="1" x14ac:dyDescent="0.2">
      <c r="B12" s="6" t="s">
        <v>12</v>
      </c>
      <c r="C12" s="57" t="s">
        <v>13</v>
      </c>
      <c r="D12" s="57"/>
    </row>
    <row r="13" spans="2:4" ht="21.75" customHeight="1" x14ac:dyDescent="0.2">
      <c r="B13" s="6" t="s">
        <v>14</v>
      </c>
      <c r="C13" s="57" t="s">
        <v>15</v>
      </c>
      <c r="D13" s="57"/>
    </row>
    <row r="14" spans="2:4" ht="21.75" customHeight="1" x14ac:dyDescent="0.2">
      <c r="B14" s="6" t="s">
        <v>16</v>
      </c>
      <c r="C14" s="57" t="s">
        <v>17</v>
      </c>
      <c r="D14" s="57"/>
    </row>
    <row r="15" spans="2:4" ht="21.75" customHeight="1" x14ac:dyDescent="0.2"/>
    <row r="16" spans="2:4" ht="21.75" customHeight="1" x14ac:dyDescent="0.2">
      <c r="B16" s="58" t="s">
        <v>18</v>
      </c>
      <c r="C16" s="58"/>
      <c r="D16" s="58"/>
    </row>
    <row r="17" spans="2:4" ht="21.75" customHeight="1" x14ac:dyDescent="0.2">
      <c r="B17" s="6" t="s">
        <v>19</v>
      </c>
      <c r="C17" s="57" t="s">
        <v>20</v>
      </c>
      <c r="D17" s="57"/>
    </row>
    <row r="18" spans="2:4" ht="21.75" customHeight="1" x14ac:dyDescent="0.2">
      <c r="B18" s="6" t="s">
        <v>21</v>
      </c>
      <c r="C18" s="57" t="s">
        <v>22</v>
      </c>
      <c r="D18" s="57"/>
    </row>
    <row r="19" spans="2:4" ht="21.75" customHeight="1" x14ac:dyDescent="0.2">
      <c r="B19" s="6" t="s">
        <v>23</v>
      </c>
      <c r="C19" s="57" t="s">
        <v>24</v>
      </c>
      <c r="D19" s="57"/>
    </row>
    <row r="20" spans="2:4" ht="21.75" customHeight="1" x14ac:dyDescent="0.2">
      <c r="B20" s="6" t="s">
        <v>25</v>
      </c>
      <c r="C20" s="57" t="s">
        <v>26</v>
      </c>
      <c r="D20" s="57"/>
    </row>
    <row r="21" spans="2:4" ht="21.75" customHeight="1" x14ac:dyDescent="0.2">
      <c r="B21" s="6" t="s">
        <v>27</v>
      </c>
      <c r="C21" s="57" t="s">
        <v>28</v>
      </c>
      <c r="D21" s="57"/>
    </row>
    <row r="22" spans="2:4" ht="21.75" customHeight="1" x14ac:dyDescent="0.2">
      <c r="B22" s="6" t="s">
        <v>29</v>
      </c>
      <c r="C22" s="57" t="s">
        <v>30</v>
      </c>
      <c r="D22" s="57"/>
    </row>
    <row r="23" spans="2:4" ht="21.75" customHeight="1" x14ac:dyDescent="0.2"/>
    <row r="24" spans="2:4" ht="21.75" customHeight="1" x14ac:dyDescent="0.2">
      <c r="B24" s="58" t="s">
        <v>31</v>
      </c>
      <c r="C24" s="58"/>
      <c r="D24" s="58"/>
    </row>
    <row r="25" spans="2:4" ht="21.75" customHeight="1" x14ac:dyDescent="0.2">
      <c r="B25" s="6" t="s">
        <v>32</v>
      </c>
      <c r="C25" s="57" t="s">
        <v>33</v>
      </c>
      <c r="D25" s="57"/>
    </row>
    <row r="26" spans="2:4" ht="21.75" customHeight="1" x14ac:dyDescent="0.2">
      <c r="B26" s="6" t="s">
        <v>34</v>
      </c>
      <c r="C26" s="57" t="s">
        <v>35</v>
      </c>
      <c r="D26" s="57"/>
    </row>
    <row r="27" spans="2:4" ht="21.75" customHeight="1" x14ac:dyDescent="0.2">
      <c r="B27" s="6" t="s">
        <v>36</v>
      </c>
      <c r="C27" s="57" t="s">
        <v>37</v>
      </c>
      <c r="D27" s="57"/>
    </row>
    <row r="28" spans="2:4" ht="21.75" customHeight="1" x14ac:dyDescent="0.2">
      <c r="B28" s="6" t="s">
        <v>38</v>
      </c>
      <c r="C28" s="57" t="s">
        <v>39</v>
      </c>
      <c r="D28" s="57"/>
    </row>
    <row r="29" spans="2:4" ht="21.75" customHeight="1" x14ac:dyDescent="0.2">
      <c r="B29" s="6" t="s">
        <v>40</v>
      </c>
      <c r="C29" s="57" t="s">
        <v>41</v>
      </c>
      <c r="D29" s="57"/>
    </row>
  </sheetData>
  <mergeCells count="24">
    <mergeCell ref="B2:D2"/>
    <mergeCell ref="B3:D3"/>
    <mergeCell ref="B5:D5"/>
    <mergeCell ref="C6:D6"/>
    <mergeCell ref="C7:D7"/>
    <mergeCell ref="B9:D9"/>
    <mergeCell ref="C10:D10"/>
    <mergeCell ref="C11:D11"/>
    <mergeCell ref="C12:D12"/>
    <mergeCell ref="C13:D13"/>
    <mergeCell ref="C14:D14"/>
    <mergeCell ref="B16:D16"/>
    <mergeCell ref="C17:D17"/>
    <mergeCell ref="C18:D18"/>
    <mergeCell ref="C19:D19"/>
    <mergeCell ref="C26:D26"/>
    <mergeCell ref="C27:D27"/>
    <mergeCell ref="C28:D28"/>
    <mergeCell ref="C29:D29"/>
    <mergeCell ref="C20:D20"/>
    <mergeCell ref="C21:D21"/>
    <mergeCell ref="C22:D22"/>
    <mergeCell ref="B24:D24"/>
    <mergeCell ref="C25:D25"/>
  </mergeCells>
  <pageMargins left="0.75" right="0.75" top="1" bottom="1" header="0.511811023622047" footer="0.511811023622047"/>
  <pageSetup paperSize="9" scale="8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I36"/>
  <sheetViews>
    <sheetView showGridLines="0" topLeftCell="A2" zoomScaleNormal="100" workbookViewId="0">
      <selection activeCell="B36" sqref="B2:I36"/>
    </sheetView>
  </sheetViews>
  <sheetFormatPr baseColWidth="10" defaultColWidth="8.6640625" defaultRowHeight="15" x14ac:dyDescent="0.2"/>
  <cols>
    <col min="1" max="1" width="2" customWidth="1"/>
    <col min="2" max="2" width="67.5" customWidth="1"/>
    <col min="3" max="3" width="8.83203125" bestFit="1" customWidth="1"/>
    <col min="4" max="4" width="10.83203125" bestFit="1" customWidth="1"/>
    <col min="5" max="5" width="10.33203125" bestFit="1" customWidth="1"/>
    <col min="6" max="6" width="15.33203125" customWidth="1"/>
    <col min="7" max="7" width="12" customWidth="1"/>
    <col min="8" max="8" width="18" customWidth="1"/>
    <col min="9" max="9" width="61.6640625" customWidth="1"/>
    <col min="10" max="10" width="2" customWidth="1"/>
  </cols>
  <sheetData>
    <row r="1" spans="2:9" ht="7.5" customHeight="1" x14ac:dyDescent="0.2"/>
    <row r="2" spans="2:9" ht="36" customHeight="1" x14ac:dyDescent="0.2">
      <c r="B2" s="62" t="s">
        <v>42</v>
      </c>
      <c r="C2" s="62"/>
      <c r="D2" s="62"/>
      <c r="E2" s="62"/>
      <c r="F2" s="62"/>
      <c r="G2" s="62"/>
      <c r="H2" s="62"/>
      <c r="I2" s="62"/>
    </row>
    <row r="3" spans="2:9" ht="36" customHeight="1" x14ac:dyDescent="0.2">
      <c r="B3" s="25" t="s">
        <v>43</v>
      </c>
      <c r="C3" s="25" t="s">
        <v>44</v>
      </c>
      <c r="D3" s="25" t="s">
        <v>45</v>
      </c>
      <c r="E3" s="26" t="s">
        <v>46</v>
      </c>
      <c r="F3" s="26" t="s">
        <v>47</v>
      </c>
      <c r="G3" s="26" t="s">
        <v>48</v>
      </c>
      <c r="H3" s="27" t="s">
        <v>49</v>
      </c>
      <c r="I3" s="28" t="s">
        <v>50</v>
      </c>
    </row>
    <row r="4" spans="2:9" ht="18" customHeight="1" x14ac:dyDescent="0.2">
      <c r="B4" s="8" t="s">
        <v>51</v>
      </c>
      <c r="C4" s="9">
        <v>0</v>
      </c>
      <c r="D4" s="9">
        <v>45</v>
      </c>
      <c r="E4" s="10">
        <v>32</v>
      </c>
      <c r="F4" s="11">
        <v>12</v>
      </c>
      <c r="G4" s="11">
        <v>8</v>
      </c>
      <c r="H4" s="12" t="s">
        <v>52</v>
      </c>
      <c r="I4" s="13"/>
    </row>
    <row r="5" spans="2:9" ht="18" customHeight="1" x14ac:dyDescent="0.2">
      <c r="B5" s="14" t="s">
        <v>53</v>
      </c>
      <c r="C5" s="15">
        <v>18</v>
      </c>
      <c r="D5" s="15">
        <v>22</v>
      </c>
      <c r="E5" s="16">
        <v>28</v>
      </c>
      <c r="F5" s="17">
        <v>8</v>
      </c>
      <c r="G5" s="17">
        <v>5</v>
      </c>
      <c r="H5" s="18" t="s">
        <v>54</v>
      </c>
      <c r="I5" s="19"/>
    </row>
    <row r="6" spans="2:9" ht="18" customHeight="1" x14ac:dyDescent="0.2">
      <c r="B6" s="8" t="s">
        <v>55</v>
      </c>
      <c r="C6" s="9">
        <v>12</v>
      </c>
      <c r="D6" s="9">
        <v>8</v>
      </c>
      <c r="E6" s="10">
        <v>24</v>
      </c>
      <c r="F6" s="11">
        <v>5</v>
      </c>
      <c r="G6" s="11">
        <v>3</v>
      </c>
      <c r="H6" s="18" t="s">
        <v>54</v>
      </c>
      <c r="I6" s="13"/>
    </row>
    <row r="7" spans="2:9" ht="18" customHeight="1" x14ac:dyDescent="0.2">
      <c r="B7" s="14" t="s">
        <v>56</v>
      </c>
      <c r="C7" s="15">
        <v>8</v>
      </c>
      <c r="D7" s="15">
        <v>6</v>
      </c>
      <c r="E7" s="16">
        <v>18</v>
      </c>
      <c r="F7" s="17">
        <v>3</v>
      </c>
      <c r="G7" s="17">
        <v>2</v>
      </c>
      <c r="H7" s="18" t="s">
        <v>54</v>
      </c>
      <c r="I7" s="19"/>
    </row>
    <row r="8" spans="2:9" ht="18" customHeight="1" x14ac:dyDescent="0.2">
      <c r="B8" s="8" t="s">
        <v>57</v>
      </c>
      <c r="C8" s="9">
        <v>14</v>
      </c>
      <c r="D8" s="9">
        <v>20</v>
      </c>
      <c r="E8" s="10">
        <v>25</v>
      </c>
      <c r="F8" s="11">
        <v>7</v>
      </c>
      <c r="G8" s="11">
        <v>4</v>
      </c>
      <c r="H8" s="20" t="s">
        <v>58</v>
      </c>
      <c r="I8" s="13"/>
    </row>
    <row r="9" spans="2:9" ht="18" customHeight="1" x14ac:dyDescent="0.2">
      <c r="B9" s="14" t="s">
        <v>59</v>
      </c>
      <c r="C9" s="15">
        <v>9</v>
      </c>
      <c r="D9" s="15">
        <v>5</v>
      </c>
      <c r="E9" s="16">
        <v>20</v>
      </c>
      <c r="F9" s="17">
        <v>4</v>
      </c>
      <c r="G9" s="17">
        <v>3</v>
      </c>
      <c r="H9" s="20" t="s">
        <v>58</v>
      </c>
      <c r="I9" s="19"/>
    </row>
    <row r="10" spans="2:9" ht="18" customHeight="1" x14ac:dyDescent="0.2">
      <c r="B10" s="8" t="s">
        <v>60</v>
      </c>
      <c r="C10" s="9">
        <v>6</v>
      </c>
      <c r="D10" s="9">
        <v>28</v>
      </c>
      <c r="E10" s="10">
        <v>15</v>
      </c>
      <c r="F10" s="11">
        <v>2</v>
      </c>
      <c r="G10" s="11">
        <v>1</v>
      </c>
      <c r="H10" s="21" t="s">
        <v>61</v>
      </c>
      <c r="I10" s="13"/>
    </row>
    <row r="11" spans="2:9" ht="18" customHeight="1" x14ac:dyDescent="0.2">
      <c r="B11" s="14" t="s">
        <v>62</v>
      </c>
      <c r="C11" s="15">
        <v>11</v>
      </c>
      <c r="D11" s="15">
        <v>7</v>
      </c>
      <c r="E11" s="16">
        <v>14</v>
      </c>
      <c r="F11" s="17">
        <v>3</v>
      </c>
      <c r="G11" s="17">
        <v>2</v>
      </c>
      <c r="H11" s="18" t="s">
        <v>54</v>
      </c>
      <c r="I11" s="19"/>
    </row>
    <row r="12" spans="2:9" ht="18" customHeight="1" x14ac:dyDescent="0.2">
      <c r="B12" s="8" t="s">
        <v>63</v>
      </c>
      <c r="C12" s="9">
        <v>5</v>
      </c>
      <c r="D12" s="9">
        <v>4</v>
      </c>
      <c r="E12" s="10">
        <v>12</v>
      </c>
      <c r="F12" s="11">
        <v>2</v>
      </c>
      <c r="G12" s="11">
        <v>1</v>
      </c>
      <c r="H12" s="18" t="s">
        <v>54</v>
      </c>
      <c r="I12" s="13"/>
    </row>
    <row r="13" spans="2:9" ht="18" customHeight="1" x14ac:dyDescent="0.2">
      <c r="B13" s="14" t="s">
        <v>64</v>
      </c>
      <c r="C13" s="15">
        <v>3</v>
      </c>
      <c r="D13" s="15">
        <v>35</v>
      </c>
      <c r="E13" s="16">
        <v>10</v>
      </c>
      <c r="F13" s="17">
        <v>1</v>
      </c>
      <c r="G13" s="17">
        <v>1</v>
      </c>
      <c r="H13" s="22" t="s">
        <v>65</v>
      </c>
      <c r="I13" s="19"/>
    </row>
    <row r="14" spans="2:9" ht="18" customHeight="1" x14ac:dyDescent="0.2">
      <c r="B14" s="8" t="s">
        <v>66</v>
      </c>
      <c r="C14" s="9">
        <v>4</v>
      </c>
      <c r="D14" s="9">
        <v>3</v>
      </c>
      <c r="E14" s="10">
        <v>8</v>
      </c>
      <c r="F14" s="11">
        <v>1</v>
      </c>
      <c r="G14" s="11">
        <v>1</v>
      </c>
      <c r="H14" s="18" t="s">
        <v>54</v>
      </c>
      <c r="I14" s="13"/>
    </row>
    <row r="15" spans="2:9" ht="18" customHeight="1" x14ac:dyDescent="0.2">
      <c r="B15" s="14" t="s">
        <v>67</v>
      </c>
      <c r="C15" s="15">
        <v>3</v>
      </c>
      <c r="D15" s="15">
        <v>2</v>
      </c>
      <c r="E15" s="16">
        <v>6</v>
      </c>
      <c r="F15" s="17">
        <v>0</v>
      </c>
      <c r="G15" s="17">
        <v>0</v>
      </c>
      <c r="H15" s="18" t="s">
        <v>54</v>
      </c>
      <c r="I15" s="19"/>
    </row>
    <row r="16" spans="2:9" ht="18" customHeight="1" x14ac:dyDescent="0.2">
      <c r="B16" s="8" t="s">
        <v>68</v>
      </c>
      <c r="C16" s="9">
        <v>7</v>
      </c>
      <c r="D16" s="9">
        <v>4</v>
      </c>
      <c r="E16" s="10">
        <v>11</v>
      </c>
      <c r="F16" s="11">
        <v>2</v>
      </c>
      <c r="G16" s="11">
        <v>1</v>
      </c>
      <c r="H16" s="18" t="s">
        <v>54</v>
      </c>
      <c r="I16" s="13"/>
    </row>
    <row r="17" spans="2:9" ht="18" customHeight="1" x14ac:dyDescent="0.2">
      <c r="B17" s="14" t="s">
        <v>69</v>
      </c>
      <c r="C17" s="15">
        <v>6</v>
      </c>
      <c r="D17" s="15">
        <v>3</v>
      </c>
      <c r="E17" s="16">
        <v>9</v>
      </c>
      <c r="F17" s="17">
        <v>1</v>
      </c>
      <c r="G17" s="17">
        <v>1</v>
      </c>
      <c r="H17" s="18" t="s">
        <v>54</v>
      </c>
      <c r="I17" s="19"/>
    </row>
    <row r="18" spans="2:9" ht="18" customHeight="1" x14ac:dyDescent="0.2">
      <c r="B18" s="8" t="s">
        <v>70</v>
      </c>
      <c r="C18" s="9">
        <v>4</v>
      </c>
      <c r="D18" s="9">
        <v>2</v>
      </c>
      <c r="E18" s="10">
        <v>7</v>
      </c>
      <c r="F18" s="11">
        <v>1</v>
      </c>
      <c r="G18" s="11">
        <v>0</v>
      </c>
      <c r="H18" s="18" t="s">
        <v>54</v>
      </c>
      <c r="I18" s="13"/>
    </row>
    <row r="19" spans="2:9" ht="18" customHeight="1" x14ac:dyDescent="0.2">
      <c r="B19" s="14" t="s">
        <v>71</v>
      </c>
      <c r="C19" s="15">
        <v>8</v>
      </c>
      <c r="D19" s="15">
        <v>5</v>
      </c>
      <c r="E19" s="16">
        <v>13</v>
      </c>
      <c r="F19" s="17">
        <v>2</v>
      </c>
      <c r="G19" s="17">
        <v>1</v>
      </c>
      <c r="H19" s="18" t="s">
        <v>54</v>
      </c>
      <c r="I19" s="19"/>
    </row>
    <row r="20" spans="2:9" ht="18" customHeight="1" x14ac:dyDescent="0.2">
      <c r="B20" s="8" t="s">
        <v>72</v>
      </c>
      <c r="C20" s="9">
        <v>3</v>
      </c>
      <c r="D20" s="9">
        <v>1</v>
      </c>
      <c r="E20" s="10">
        <v>5</v>
      </c>
      <c r="F20" s="11">
        <v>0</v>
      </c>
      <c r="G20" s="11">
        <v>0</v>
      </c>
      <c r="H20" s="18" t="s">
        <v>54</v>
      </c>
      <c r="I20" s="13"/>
    </row>
    <row r="21" spans="2:9" ht="18" customHeight="1" x14ac:dyDescent="0.2">
      <c r="B21" s="14" t="s">
        <v>73</v>
      </c>
      <c r="C21" s="15">
        <v>2</v>
      </c>
      <c r="D21" s="15">
        <v>8</v>
      </c>
      <c r="E21" s="16">
        <v>4</v>
      </c>
      <c r="F21" s="17">
        <v>0</v>
      </c>
      <c r="G21" s="17">
        <v>0</v>
      </c>
      <c r="H21" s="21" t="s">
        <v>61</v>
      </c>
      <c r="I21" s="19"/>
    </row>
    <row r="22" spans="2:9" ht="18" customHeight="1" x14ac:dyDescent="0.2">
      <c r="B22" s="8" t="s">
        <v>74</v>
      </c>
      <c r="C22" s="9">
        <v>2</v>
      </c>
      <c r="D22" s="9">
        <v>6</v>
      </c>
      <c r="E22" s="10">
        <v>3</v>
      </c>
      <c r="F22" s="11">
        <v>0</v>
      </c>
      <c r="G22" s="11">
        <v>0</v>
      </c>
      <c r="H22" s="21" t="s">
        <v>61</v>
      </c>
      <c r="I22" s="13"/>
    </row>
    <row r="23" spans="2:9" ht="18" customHeight="1" x14ac:dyDescent="0.2">
      <c r="B23" s="14" t="s">
        <v>75</v>
      </c>
      <c r="C23" s="15">
        <v>15</v>
      </c>
      <c r="D23" s="15">
        <v>1</v>
      </c>
      <c r="E23" s="16">
        <v>6</v>
      </c>
      <c r="F23" s="17">
        <v>0</v>
      </c>
      <c r="G23" s="17">
        <v>0</v>
      </c>
      <c r="H23" s="23" t="s">
        <v>76</v>
      </c>
      <c r="I23" s="19"/>
    </row>
    <row r="24" spans="2:9" ht="18" customHeight="1" x14ac:dyDescent="0.2">
      <c r="B24" s="8" t="s">
        <v>77</v>
      </c>
      <c r="C24" s="9">
        <v>10</v>
      </c>
      <c r="D24" s="9">
        <v>1</v>
      </c>
      <c r="E24" s="10">
        <v>5</v>
      </c>
      <c r="F24" s="11">
        <v>0</v>
      </c>
      <c r="G24" s="11">
        <v>0</v>
      </c>
      <c r="H24" s="23" t="s">
        <v>76</v>
      </c>
      <c r="I24" s="13"/>
    </row>
    <row r="25" spans="2:9" ht="18" customHeight="1" x14ac:dyDescent="0.2">
      <c r="B25" s="14" t="s">
        <v>78</v>
      </c>
      <c r="C25" s="15">
        <v>18</v>
      </c>
      <c r="D25" s="15">
        <v>0</v>
      </c>
      <c r="E25" s="16">
        <v>2</v>
      </c>
      <c r="F25" s="17">
        <v>0</v>
      </c>
      <c r="G25" s="17">
        <v>0</v>
      </c>
      <c r="H25" s="23" t="s">
        <v>76</v>
      </c>
      <c r="I25" s="19"/>
    </row>
    <row r="26" spans="2:9" ht="18" customHeight="1" x14ac:dyDescent="0.2">
      <c r="B26" s="8" t="s">
        <v>79</v>
      </c>
      <c r="C26" s="9">
        <v>17</v>
      </c>
      <c r="D26" s="9">
        <v>0</v>
      </c>
      <c r="E26" s="10">
        <v>2</v>
      </c>
      <c r="F26" s="11">
        <v>0</v>
      </c>
      <c r="G26" s="11">
        <v>0</v>
      </c>
      <c r="H26" s="23" t="s">
        <v>76</v>
      </c>
      <c r="I26" s="13"/>
    </row>
    <row r="27" spans="2:9" ht="18" customHeight="1" x14ac:dyDescent="0.2">
      <c r="B27" s="14" t="s">
        <v>80</v>
      </c>
      <c r="C27" s="15">
        <v>5</v>
      </c>
      <c r="D27" s="15">
        <v>3</v>
      </c>
      <c r="E27" s="16">
        <v>9</v>
      </c>
      <c r="F27" s="17">
        <v>1</v>
      </c>
      <c r="G27" s="17">
        <v>1</v>
      </c>
      <c r="H27" s="20" t="s">
        <v>58</v>
      </c>
      <c r="I27" s="19"/>
    </row>
    <row r="28" spans="2:9" ht="18" customHeight="1" x14ac:dyDescent="0.2">
      <c r="B28" s="8" t="s">
        <v>81</v>
      </c>
      <c r="C28" s="9">
        <v>6</v>
      </c>
      <c r="D28" s="9">
        <v>4</v>
      </c>
      <c r="E28" s="10">
        <v>11</v>
      </c>
      <c r="F28" s="11">
        <v>2</v>
      </c>
      <c r="G28" s="11">
        <v>1</v>
      </c>
      <c r="H28" s="20" t="s">
        <v>58</v>
      </c>
      <c r="I28" s="13"/>
    </row>
    <row r="29" spans="2:9" ht="18" customHeight="1" x14ac:dyDescent="0.2">
      <c r="B29" s="14" t="s">
        <v>82</v>
      </c>
      <c r="C29" s="15">
        <v>4</v>
      </c>
      <c r="D29" s="15">
        <v>2</v>
      </c>
      <c r="E29" s="16">
        <v>7</v>
      </c>
      <c r="F29" s="17">
        <v>0</v>
      </c>
      <c r="G29" s="17">
        <v>0</v>
      </c>
      <c r="H29" s="18" t="s">
        <v>54</v>
      </c>
      <c r="I29" s="19"/>
    </row>
    <row r="30" spans="2:9" ht="18" customHeight="1" x14ac:dyDescent="0.2">
      <c r="B30" s="8" t="s">
        <v>83</v>
      </c>
      <c r="C30" s="9">
        <v>3</v>
      </c>
      <c r="D30" s="9">
        <v>2</v>
      </c>
      <c r="E30" s="10">
        <v>5</v>
      </c>
      <c r="F30" s="11">
        <v>0</v>
      </c>
      <c r="G30" s="11">
        <v>0</v>
      </c>
      <c r="H30" s="18" t="s">
        <v>54</v>
      </c>
      <c r="I30" s="13"/>
    </row>
    <row r="31" spans="2:9" ht="18" customHeight="1" x14ac:dyDescent="0.2">
      <c r="B31" s="14" t="s">
        <v>84</v>
      </c>
      <c r="C31" s="15">
        <v>1</v>
      </c>
      <c r="D31" s="15">
        <v>7</v>
      </c>
      <c r="E31" s="16">
        <v>2</v>
      </c>
      <c r="F31" s="17">
        <v>0</v>
      </c>
      <c r="G31" s="17">
        <v>0</v>
      </c>
      <c r="H31" s="21" t="s">
        <v>61</v>
      </c>
      <c r="I31" s="19"/>
    </row>
    <row r="32" spans="2:9" ht="18" customHeight="1" x14ac:dyDescent="0.2">
      <c r="B32" s="8" t="s">
        <v>85</v>
      </c>
      <c r="C32" s="9">
        <v>3</v>
      </c>
      <c r="D32" s="9">
        <v>9</v>
      </c>
      <c r="E32" s="10">
        <v>4</v>
      </c>
      <c r="F32" s="11">
        <v>0</v>
      </c>
      <c r="G32" s="11">
        <v>0</v>
      </c>
      <c r="H32" s="22" t="s">
        <v>65</v>
      </c>
      <c r="I32" s="13"/>
    </row>
    <row r="33" spans="2:9" ht="18" customHeight="1" x14ac:dyDescent="0.2">
      <c r="B33" s="14" t="s">
        <v>86</v>
      </c>
      <c r="C33" s="15">
        <v>4</v>
      </c>
      <c r="D33" s="15">
        <v>11</v>
      </c>
      <c r="E33" s="16">
        <v>5</v>
      </c>
      <c r="F33" s="17">
        <v>0</v>
      </c>
      <c r="G33" s="17">
        <v>0</v>
      </c>
      <c r="H33" s="22" t="s">
        <v>65</v>
      </c>
      <c r="I33" s="19"/>
    </row>
    <row r="34" spans="2:9" ht="19" x14ac:dyDescent="0.25">
      <c r="B34" s="24"/>
      <c r="C34" s="24"/>
      <c r="D34" s="24"/>
      <c r="E34" s="24"/>
      <c r="F34" s="24"/>
      <c r="G34" s="24"/>
      <c r="H34" s="24"/>
      <c r="I34" s="24"/>
    </row>
    <row r="35" spans="2:9" ht="19" x14ac:dyDescent="0.25">
      <c r="B35" s="24"/>
      <c r="C35" s="24"/>
      <c r="D35" s="24"/>
      <c r="E35" s="24"/>
      <c r="F35" s="24"/>
      <c r="G35" s="24"/>
      <c r="H35" s="24"/>
      <c r="I35" s="24"/>
    </row>
    <row r="36" spans="2:9" ht="15" customHeight="1" x14ac:dyDescent="0.2">
      <c r="B36" s="63" t="s">
        <v>87</v>
      </c>
      <c r="C36" s="63"/>
      <c r="D36" s="63"/>
      <c r="E36" s="63"/>
      <c r="F36" s="63"/>
      <c r="G36" s="63"/>
      <c r="H36" s="63"/>
      <c r="I36" s="63"/>
    </row>
  </sheetData>
  <mergeCells count="2">
    <mergeCell ref="B2:I2"/>
    <mergeCell ref="B36:I36"/>
  </mergeCells>
  <dataValidations count="1">
    <dataValidation type="list" allowBlank="1" sqref="H4:H200" xr:uid="{00000000-0002-0000-0100-000000000000}">
      <formula1>"PKV,BUV,Blog,Kategorie,Startseite,Sonstige"</formula1>
      <formula2>0</formula2>
    </dataValidation>
  </dataValidations>
  <pageMargins left="0.75" right="0.75" top="1" bottom="1" header="0.511811023622047" footer="0.511811023622047"/>
  <pageSetup paperSize="9" scale="5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K33"/>
  <sheetViews>
    <sheetView showGridLines="0" zoomScaleNormal="100" workbookViewId="0">
      <selection activeCell="K33" sqref="B2:K33"/>
    </sheetView>
  </sheetViews>
  <sheetFormatPr baseColWidth="10" defaultColWidth="8.6640625" defaultRowHeight="15" x14ac:dyDescent="0.2"/>
  <cols>
    <col min="1" max="1" width="2" customWidth="1"/>
    <col min="2" max="2" width="68" customWidth="1"/>
    <col min="3" max="3" width="10" customWidth="1"/>
    <col min="4" max="4" width="12.5" customWidth="1"/>
    <col min="5" max="5" width="10" customWidth="1"/>
    <col min="6" max="6" width="15" customWidth="1"/>
    <col min="7" max="7" width="16.5" customWidth="1"/>
    <col min="8" max="8" width="21.5" customWidth="1"/>
    <col min="9" max="10" width="18" customWidth="1"/>
    <col min="11" max="11" width="66.5" customWidth="1"/>
    <col min="12" max="12" width="2" customWidth="1"/>
  </cols>
  <sheetData>
    <row r="1" spans="2:11" ht="7.5" customHeight="1" x14ac:dyDescent="0.2"/>
    <row r="2" spans="2:11" ht="36" customHeight="1" x14ac:dyDescent="0.2">
      <c r="B2" s="64" t="s">
        <v>88</v>
      </c>
      <c r="C2" s="64"/>
      <c r="D2" s="64"/>
      <c r="E2" s="64"/>
      <c r="F2" s="64"/>
      <c r="G2" s="64"/>
      <c r="H2" s="64"/>
      <c r="I2" s="64"/>
      <c r="J2" s="64"/>
      <c r="K2" s="64"/>
    </row>
    <row r="3" spans="2:11" ht="39.75" customHeight="1" x14ac:dyDescent="0.2">
      <c r="B3" s="29" t="s">
        <v>43</v>
      </c>
      <c r="C3" s="29" t="s">
        <v>89</v>
      </c>
      <c r="D3" s="29" t="s">
        <v>90</v>
      </c>
      <c r="E3" s="29" t="s">
        <v>91</v>
      </c>
      <c r="F3" s="29" t="s">
        <v>92</v>
      </c>
      <c r="G3" s="29" t="s">
        <v>93</v>
      </c>
      <c r="H3" s="29" t="s">
        <v>94</v>
      </c>
      <c r="I3" s="29" t="s">
        <v>95</v>
      </c>
      <c r="J3" s="29" t="s">
        <v>96</v>
      </c>
      <c r="K3" s="29" t="s">
        <v>97</v>
      </c>
    </row>
    <row r="4" spans="2:11" ht="18" customHeight="1" x14ac:dyDescent="0.2">
      <c r="B4" s="8" t="str">
        <f>'📥 Rohdaten'!B4</f>
        <v>https://www.fairbeamtet.de/</v>
      </c>
      <c r="C4" s="9">
        <f>'📥 Rohdaten'!C4</f>
        <v>0</v>
      </c>
      <c r="D4" s="9">
        <f>'📥 Rohdaten'!D4</f>
        <v>45</v>
      </c>
      <c r="E4" s="10">
        <f>'📥 Rohdaten'!E4</f>
        <v>32</v>
      </c>
      <c r="F4" s="30">
        <f t="shared" ref="F4:F33" si="0">C4-D4</f>
        <v>-45</v>
      </c>
      <c r="G4" s="31">
        <f t="shared" ref="G4:G33" si="1">ROUND(F4*(1+E4/50),1)</f>
        <v>-73.8</v>
      </c>
      <c r="H4" s="32" t="str">
        <f t="shared" ref="H4:H33" si="2">IF(F4&gt;10,IF(E4&gt;=15,"🔥 HOARDER",IF(F4&gt;5,"⚡ HOARDER","⚡ HOARDER")),IF(F4&lt;-5,IF(E4&gt;=10,"🚨 WASTER","⚠️ WASTER"),"✅ OK"))</f>
        <v>🚨 WASTER</v>
      </c>
      <c r="I4" s="32" t="str">
        <f t="shared" ref="I4:I33" si="3">IF(AND(F4&gt;10,E4&gt;=15),"🔴 P1",IF(AND(F4&lt;-5,E4&gt;=10),"🔴 P1",IF(ABS(F4)&gt;5,"🟡 P2",IF(ABS(F4)&gt;2,"🟢 P3","⚪ OK"))))</f>
        <v>🔴 P1</v>
      </c>
      <c r="J4" s="9" t="str">
        <f>'📥 Rohdaten'!H4</f>
        <v>Startseite</v>
      </c>
      <c r="K4" s="13" t="str">
        <f t="shared" ref="K4:K33" si="4">IF(J4="Sonstige","— Keine Optimierung nötig",IF(F4&gt;10,IF(E4&gt;=15,"🔥 HOARDER P1: Sofort outlinken — starke Seite verschwendet Potenzial","⚡ HOARDER P2: Mehr interne Links von hier setzen"),IF(F4&lt;-5,IF(E4&gt;=10,"🚨 WASTER P1: Outlinks reduzieren oder mehr Inlinks holen","⚠️ WASTER P2: Prüfen ob Outlinks sinnvoll sind"),IF(AND(F4&gt;=-5,F4&lt;=10),"✅ Ausgewogen — weiter beobachten","🔍 Grenzbereich — näher prüfen"))))</f>
        <v>🚨 WASTER P1: Outlinks reduzieren oder mehr Inlinks holen</v>
      </c>
    </row>
    <row r="5" spans="2:11" ht="18" customHeight="1" x14ac:dyDescent="0.2">
      <c r="B5" s="14" t="str">
        <f>'📥 Rohdaten'!B5</f>
        <v>https://www.fairbeamtet.de/pkv-beamte/</v>
      </c>
      <c r="C5" s="15">
        <f>'📥 Rohdaten'!C5</f>
        <v>18</v>
      </c>
      <c r="D5" s="15">
        <f>'📥 Rohdaten'!D5</f>
        <v>22</v>
      </c>
      <c r="E5" s="16">
        <f>'📥 Rohdaten'!E5</f>
        <v>28</v>
      </c>
      <c r="F5" s="33">
        <f t="shared" si="0"/>
        <v>-4</v>
      </c>
      <c r="G5" s="34">
        <f t="shared" si="1"/>
        <v>-6.2</v>
      </c>
      <c r="H5" s="23" t="str">
        <f t="shared" si="2"/>
        <v>✅ OK</v>
      </c>
      <c r="I5" s="23" t="str">
        <f t="shared" si="3"/>
        <v>🟢 P3</v>
      </c>
      <c r="J5" s="15" t="str">
        <f>'📥 Rohdaten'!H5</f>
        <v>PKV</v>
      </c>
      <c r="K5" s="19" t="str">
        <f t="shared" si="4"/>
        <v>✅ Ausgewogen — weiter beobachten</v>
      </c>
    </row>
    <row r="6" spans="2:11" ht="18" customHeight="1" x14ac:dyDescent="0.2">
      <c r="B6" s="8" t="str">
        <f>'📥 Rohdaten'!B6</f>
        <v>https://www.fairbeamtet.de/pkv-beamte-vergleich/</v>
      </c>
      <c r="C6" s="9">
        <f>'📥 Rohdaten'!C6</f>
        <v>12</v>
      </c>
      <c r="D6" s="9">
        <f>'📥 Rohdaten'!D6</f>
        <v>8</v>
      </c>
      <c r="E6" s="10">
        <f>'📥 Rohdaten'!E6</f>
        <v>24</v>
      </c>
      <c r="F6" s="30">
        <f t="shared" si="0"/>
        <v>4</v>
      </c>
      <c r="G6" s="31">
        <f t="shared" si="1"/>
        <v>5.9</v>
      </c>
      <c r="H6" s="32" t="str">
        <f t="shared" si="2"/>
        <v>✅ OK</v>
      </c>
      <c r="I6" s="32" t="str">
        <f t="shared" si="3"/>
        <v>🟢 P3</v>
      </c>
      <c r="J6" s="9" t="str">
        <f>'📥 Rohdaten'!H6</f>
        <v>PKV</v>
      </c>
      <c r="K6" s="13" t="str">
        <f t="shared" si="4"/>
        <v>✅ Ausgewogen — weiter beobachten</v>
      </c>
    </row>
    <row r="7" spans="2:11" ht="18" customHeight="1" x14ac:dyDescent="0.2">
      <c r="B7" s="14" t="str">
        <f>'📥 Rohdaten'!B7</f>
        <v>https://www.fairbeamtet.de/beamte-krankenversicherung/</v>
      </c>
      <c r="C7" s="15">
        <f>'📥 Rohdaten'!C7</f>
        <v>8</v>
      </c>
      <c r="D7" s="15">
        <f>'📥 Rohdaten'!D7</f>
        <v>6</v>
      </c>
      <c r="E7" s="16">
        <f>'📥 Rohdaten'!E7</f>
        <v>18</v>
      </c>
      <c r="F7" s="33">
        <f t="shared" si="0"/>
        <v>2</v>
      </c>
      <c r="G7" s="34">
        <f t="shared" si="1"/>
        <v>2.7</v>
      </c>
      <c r="H7" s="23" t="str">
        <f t="shared" si="2"/>
        <v>✅ OK</v>
      </c>
      <c r="I7" s="23" t="str">
        <f t="shared" si="3"/>
        <v>⚪ OK</v>
      </c>
      <c r="J7" s="15" t="str">
        <f>'📥 Rohdaten'!H7</f>
        <v>PKV</v>
      </c>
      <c r="K7" s="19" t="str">
        <f t="shared" si="4"/>
        <v>✅ Ausgewogen — weiter beobachten</v>
      </c>
    </row>
    <row r="8" spans="2:11" ht="18" customHeight="1" x14ac:dyDescent="0.2">
      <c r="B8" s="8" t="str">
        <f>'📥 Rohdaten'!B8</f>
        <v>https://www.fairbeamtet.de/buv-beamte/</v>
      </c>
      <c r="C8" s="9">
        <f>'📥 Rohdaten'!C8</f>
        <v>14</v>
      </c>
      <c r="D8" s="9">
        <f>'📥 Rohdaten'!D8</f>
        <v>20</v>
      </c>
      <c r="E8" s="10">
        <f>'📥 Rohdaten'!E8</f>
        <v>25</v>
      </c>
      <c r="F8" s="30">
        <f t="shared" si="0"/>
        <v>-6</v>
      </c>
      <c r="G8" s="31">
        <f t="shared" si="1"/>
        <v>-9</v>
      </c>
      <c r="H8" s="32" t="str">
        <f t="shared" si="2"/>
        <v>🚨 WASTER</v>
      </c>
      <c r="I8" s="32" t="str">
        <f t="shared" si="3"/>
        <v>🔴 P1</v>
      </c>
      <c r="J8" s="9" t="str">
        <f>'📥 Rohdaten'!H8</f>
        <v>BUV</v>
      </c>
      <c r="K8" s="13" t="str">
        <f t="shared" si="4"/>
        <v>🚨 WASTER P1: Outlinks reduzieren oder mehr Inlinks holen</v>
      </c>
    </row>
    <row r="9" spans="2:11" ht="18" customHeight="1" x14ac:dyDescent="0.2">
      <c r="B9" s="14" t="str">
        <f>'📥 Rohdaten'!B9</f>
        <v>https://www.fairbeamtet.de/dienstunfaehigkeitsversicherung/</v>
      </c>
      <c r="C9" s="15">
        <f>'📥 Rohdaten'!C9</f>
        <v>9</v>
      </c>
      <c r="D9" s="15">
        <f>'📥 Rohdaten'!D9</f>
        <v>5</v>
      </c>
      <c r="E9" s="16">
        <f>'📥 Rohdaten'!E9</f>
        <v>20</v>
      </c>
      <c r="F9" s="33">
        <f t="shared" si="0"/>
        <v>4</v>
      </c>
      <c r="G9" s="34">
        <f t="shared" si="1"/>
        <v>5.6</v>
      </c>
      <c r="H9" s="23" t="str">
        <f t="shared" si="2"/>
        <v>✅ OK</v>
      </c>
      <c r="I9" s="23" t="str">
        <f t="shared" si="3"/>
        <v>🟢 P3</v>
      </c>
      <c r="J9" s="15" t="str">
        <f>'📥 Rohdaten'!H9</f>
        <v>BUV</v>
      </c>
      <c r="K9" s="19" t="str">
        <f t="shared" si="4"/>
        <v>✅ Ausgewogen — weiter beobachten</v>
      </c>
    </row>
    <row r="10" spans="2:11" ht="18" customHeight="1" x14ac:dyDescent="0.2">
      <c r="B10" s="8" t="str">
        <f>'📥 Rohdaten'!B10</f>
        <v>https://www.fairbeamtet.de/beamtenrecht/</v>
      </c>
      <c r="C10" s="9">
        <f>'📥 Rohdaten'!C10</f>
        <v>6</v>
      </c>
      <c r="D10" s="9">
        <f>'📥 Rohdaten'!D10</f>
        <v>28</v>
      </c>
      <c r="E10" s="10">
        <f>'📥 Rohdaten'!E10</f>
        <v>15</v>
      </c>
      <c r="F10" s="30">
        <f t="shared" si="0"/>
        <v>-22</v>
      </c>
      <c r="G10" s="31">
        <f t="shared" si="1"/>
        <v>-28.6</v>
      </c>
      <c r="H10" s="32" t="str">
        <f t="shared" si="2"/>
        <v>🚨 WASTER</v>
      </c>
      <c r="I10" s="32" t="str">
        <f t="shared" si="3"/>
        <v>🔴 P1</v>
      </c>
      <c r="J10" s="9" t="str">
        <f>'📥 Rohdaten'!H10</f>
        <v>Blog</v>
      </c>
      <c r="K10" s="13" t="str">
        <f t="shared" si="4"/>
        <v>🚨 WASTER P1: Outlinks reduzieren oder mehr Inlinks holen</v>
      </c>
    </row>
    <row r="11" spans="2:11" ht="18" customHeight="1" x14ac:dyDescent="0.2">
      <c r="B11" s="14" t="str">
        <f>'📥 Rohdaten'!B11</f>
        <v>https://www.fairbeamtet.de/beihilfe-beamte/</v>
      </c>
      <c r="C11" s="15">
        <f>'📥 Rohdaten'!C11</f>
        <v>11</v>
      </c>
      <c r="D11" s="15">
        <f>'📥 Rohdaten'!D11</f>
        <v>7</v>
      </c>
      <c r="E11" s="16">
        <f>'📥 Rohdaten'!E11</f>
        <v>14</v>
      </c>
      <c r="F11" s="33">
        <f t="shared" si="0"/>
        <v>4</v>
      </c>
      <c r="G11" s="34">
        <f t="shared" si="1"/>
        <v>5.0999999999999996</v>
      </c>
      <c r="H11" s="23" t="str">
        <f t="shared" si="2"/>
        <v>✅ OK</v>
      </c>
      <c r="I11" s="23" t="str">
        <f t="shared" si="3"/>
        <v>🟢 P3</v>
      </c>
      <c r="J11" s="15" t="str">
        <f>'📥 Rohdaten'!H11</f>
        <v>PKV</v>
      </c>
      <c r="K11" s="19" t="str">
        <f t="shared" si="4"/>
        <v>✅ Ausgewogen — weiter beobachten</v>
      </c>
    </row>
    <row r="12" spans="2:11" ht="18" customHeight="1" x14ac:dyDescent="0.2">
      <c r="B12" s="8" t="str">
        <f>'📥 Rohdaten'!B12</f>
        <v>https://www.fairbeamtet.de/pkv-kosten-beamte/</v>
      </c>
      <c r="C12" s="9">
        <f>'📥 Rohdaten'!C12</f>
        <v>5</v>
      </c>
      <c r="D12" s="9">
        <f>'📥 Rohdaten'!D12</f>
        <v>4</v>
      </c>
      <c r="E12" s="10">
        <f>'📥 Rohdaten'!E12</f>
        <v>12</v>
      </c>
      <c r="F12" s="30">
        <f t="shared" si="0"/>
        <v>1</v>
      </c>
      <c r="G12" s="31">
        <f t="shared" si="1"/>
        <v>1.2</v>
      </c>
      <c r="H12" s="32" t="str">
        <f t="shared" si="2"/>
        <v>✅ OK</v>
      </c>
      <c r="I12" s="32" t="str">
        <f t="shared" si="3"/>
        <v>⚪ OK</v>
      </c>
      <c r="J12" s="9" t="str">
        <f>'📥 Rohdaten'!H12</f>
        <v>PKV</v>
      </c>
      <c r="K12" s="13" t="str">
        <f t="shared" si="4"/>
        <v>✅ Ausgewogen — weiter beobachten</v>
      </c>
    </row>
    <row r="13" spans="2:11" ht="18" customHeight="1" x14ac:dyDescent="0.2">
      <c r="B13" s="14" t="str">
        <f>'📥 Rohdaten'!B13</f>
        <v>https://www.fairbeamtet.de/blog/</v>
      </c>
      <c r="C13" s="15">
        <f>'📥 Rohdaten'!C13</f>
        <v>3</v>
      </c>
      <c r="D13" s="15">
        <f>'📥 Rohdaten'!D13</f>
        <v>35</v>
      </c>
      <c r="E13" s="16">
        <f>'📥 Rohdaten'!E13</f>
        <v>10</v>
      </c>
      <c r="F13" s="33">
        <f t="shared" si="0"/>
        <v>-32</v>
      </c>
      <c r="G13" s="34">
        <f t="shared" si="1"/>
        <v>-38.4</v>
      </c>
      <c r="H13" s="23" t="str">
        <f t="shared" si="2"/>
        <v>🚨 WASTER</v>
      </c>
      <c r="I13" s="23" t="str">
        <f t="shared" si="3"/>
        <v>🔴 P1</v>
      </c>
      <c r="J13" s="15" t="str">
        <f>'📥 Rohdaten'!H13</f>
        <v>Kategorie</v>
      </c>
      <c r="K13" s="19" t="str">
        <f t="shared" si="4"/>
        <v>🚨 WASTER P1: Outlinks reduzieren oder mehr Inlinks holen</v>
      </c>
    </row>
    <row r="14" spans="2:11" ht="18" customHeight="1" x14ac:dyDescent="0.2">
      <c r="B14" s="8" t="str">
        <f>'📥 Rohdaten'!B14</f>
        <v>https://www.fairbeamtet.de/referendariat-krankenversicherung/</v>
      </c>
      <c r="C14" s="9">
        <f>'📥 Rohdaten'!C14</f>
        <v>4</v>
      </c>
      <c r="D14" s="9">
        <f>'📥 Rohdaten'!D14</f>
        <v>3</v>
      </c>
      <c r="E14" s="10">
        <f>'📥 Rohdaten'!E14</f>
        <v>8</v>
      </c>
      <c r="F14" s="30">
        <f t="shared" si="0"/>
        <v>1</v>
      </c>
      <c r="G14" s="31">
        <f t="shared" si="1"/>
        <v>1.2</v>
      </c>
      <c r="H14" s="32" t="str">
        <f t="shared" si="2"/>
        <v>✅ OK</v>
      </c>
      <c r="I14" s="32" t="str">
        <f t="shared" si="3"/>
        <v>⚪ OK</v>
      </c>
      <c r="J14" s="9" t="str">
        <f>'📥 Rohdaten'!H14</f>
        <v>PKV</v>
      </c>
      <c r="K14" s="13" t="str">
        <f t="shared" si="4"/>
        <v>✅ Ausgewogen — weiter beobachten</v>
      </c>
    </row>
    <row r="15" spans="2:11" ht="18" customHeight="1" x14ac:dyDescent="0.2">
      <c r="B15" s="14" t="str">
        <f>'📥 Rohdaten'!B15</f>
        <v>https://www.fairbeamtet.de/anwärter-pkv/</v>
      </c>
      <c r="C15" s="15">
        <f>'📥 Rohdaten'!C15</f>
        <v>3</v>
      </c>
      <c r="D15" s="15">
        <f>'📥 Rohdaten'!D15</f>
        <v>2</v>
      </c>
      <c r="E15" s="16">
        <f>'📥 Rohdaten'!E15</f>
        <v>6</v>
      </c>
      <c r="F15" s="33">
        <f t="shared" si="0"/>
        <v>1</v>
      </c>
      <c r="G15" s="34">
        <f t="shared" si="1"/>
        <v>1.1000000000000001</v>
      </c>
      <c r="H15" s="23" t="str">
        <f t="shared" si="2"/>
        <v>✅ OK</v>
      </c>
      <c r="I15" s="23" t="str">
        <f t="shared" si="3"/>
        <v>⚪ OK</v>
      </c>
      <c r="J15" s="15" t="str">
        <f>'📥 Rohdaten'!H15</f>
        <v>PKV</v>
      </c>
      <c r="K15" s="19" t="str">
        <f t="shared" si="4"/>
        <v>✅ Ausgewogen — weiter beobachten</v>
      </c>
    </row>
    <row r="16" spans="2:11" ht="18" customHeight="1" x14ac:dyDescent="0.2">
      <c r="B16" s="8" t="str">
        <f>'📥 Rohdaten'!B16</f>
        <v>https://www.fairbeamtet.de/lehrer-pkv/</v>
      </c>
      <c r="C16" s="9">
        <f>'📥 Rohdaten'!C16</f>
        <v>7</v>
      </c>
      <c r="D16" s="9">
        <f>'📥 Rohdaten'!D16</f>
        <v>4</v>
      </c>
      <c r="E16" s="10">
        <f>'📥 Rohdaten'!E16</f>
        <v>11</v>
      </c>
      <c r="F16" s="30">
        <f t="shared" si="0"/>
        <v>3</v>
      </c>
      <c r="G16" s="31">
        <f t="shared" si="1"/>
        <v>3.7</v>
      </c>
      <c r="H16" s="32" t="str">
        <f t="shared" si="2"/>
        <v>✅ OK</v>
      </c>
      <c r="I16" s="32" t="str">
        <f t="shared" si="3"/>
        <v>🟢 P3</v>
      </c>
      <c r="J16" s="9" t="str">
        <f>'📥 Rohdaten'!H16</f>
        <v>PKV</v>
      </c>
      <c r="K16" s="13" t="str">
        <f t="shared" si="4"/>
        <v>✅ Ausgewogen — weiter beobachten</v>
      </c>
    </row>
    <row r="17" spans="2:11" ht="18" customHeight="1" x14ac:dyDescent="0.2">
      <c r="B17" s="14" t="str">
        <f>'📥 Rohdaten'!B17</f>
        <v>https://www.fairbeamtet.de/polizei-krankenversicherung/</v>
      </c>
      <c r="C17" s="15">
        <f>'📥 Rohdaten'!C17</f>
        <v>6</v>
      </c>
      <c r="D17" s="15">
        <f>'📥 Rohdaten'!D17</f>
        <v>3</v>
      </c>
      <c r="E17" s="16">
        <f>'📥 Rohdaten'!E17</f>
        <v>9</v>
      </c>
      <c r="F17" s="33">
        <f t="shared" si="0"/>
        <v>3</v>
      </c>
      <c r="G17" s="34">
        <f t="shared" si="1"/>
        <v>3.5</v>
      </c>
      <c r="H17" s="23" t="str">
        <f t="shared" si="2"/>
        <v>✅ OK</v>
      </c>
      <c r="I17" s="23" t="str">
        <f t="shared" si="3"/>
        <v>🟢 P3</v>
      </c>
      <c r="J17" s="15" t="str">
        <f>'📥 Rohdaten'!H17</f>
        <v>PKV</v>
      </c>
      <c r="K17" s="19" t="str">
        <f t="shared" si="4"/>
        <v>✅ Ausgewogen — weiter beobachten</v>
      </c>
    </row>
    <row r="18" spans="2:11" ht="18" customHeight="1" x14ac:dyDescent="0.2">
      <c r="B18" s="8" t="str">
        <f>'📥 Rohdaten'!B18</f>
        <v>https://www.fairbeamtet.de/ruhestand-pkv/</v>
      </c>
      <c r="C18" s="9">
        <f>'📥 Rohdaten'!C18</f>
        <v>4</v>
      </c>
      <c r="D18" s="9">
        <f>'📥 Rohdaten'!D18</f>
        <v>2</v>
      </c>
      <c r="E18" s="10">
        <f>'📥 Rohdaten'!E18</f>
        <v>7</v>
      </c>
      <c r="F18" s="30">
        <f t="shared" si="0"/>
        <v>2</v>
      </c>
      <c r="G18" s="31">
        <f t="shared" si="1"/>
        <v>2.2999999999999998</v>
      </c>
      <c r="H18" s="32" t="str">
        <f t="shared" si="2"/>
        <v>✅ OK</v>
      </c>
      <c r="I18" s="32" t="str">
        <f t="shared" si="3"/>
        <v>⚪ OK</v>
      </c>
      <c r="J18" s="9" t="str">
        <f>'📥 Rohdaten'!H18</f>
        <v>PKV</v>
      </c>
      <c r="K18" s="13" t="str">
        <f t="shared" si="4"/>
        <v>✅ Ausgewogen — weiter beobachten</v>
      </c>
    </row>
    <row r="19" spans="2:11" ht="18" customHeight="1" x14ac:dyDescent="0.2">
      <c r="B19" s="14" t="str">
        <f>'📥 Rohdaten'!B19</f>
        <v>https://www.fairbeamtet.de/pkv-wechsel-beamte/</v>
      </c>
      <c r="C19" s="15">
        <f>'📥 Rohdaten'!C19</f>
        <v>8</v>
      </c>
      <c r="D19" s="15">
        <f>'📥 Rohdaten'!D19</f>
        <v>5</v>
      </c>
      <c r="E19" s="16">
        <f>'📥 Rohdaten'!E19</f>
        <v>13</v>
      </c>
      <c r="F19" s="33">
        <f t="shared" si="0"/>
        <v>3</v>
      </c>
      <c r="G19" s="34">
        <f t="shared" si="1"/>
        <v>3.8</v>
      </c>
      <c r="H19" s="23" t="str">
        <f t="shared" si="2"/>
        <v>✅ OK</v>
      </c>
      <c r="I19" s="23" t="str">
        <f t="shared" si="3"/>
        <v>🟢 P3</v>
      </c>
      <c r="J19" s="15" t="str">
        <f>'📥 Rohdaten'!H19</f>
        <v>PKV</v>
      </c>
      <c r="K19" s="19" t="str">
        <f t="shared" si="4"/>
        <v>✅ Ausgewogen — weiter beobachten</v>
      </c>
    </row>
    <row r="20" spans="2:11" ht="18" customHeight="1" x14ac:dyDescent="0.2">
      <c r="B20" s="8" t="str">
        <f>'📥 Rohdaten'!B20</f>
        <v>https://www.fairbeamtet.de/beamtenstatus-pkv/</v>
      </c>
      <c r="C20" s="9">
        <f>'📥 Rohdaten'!C20</f>
        <v>3</v>
      </c>
      <c r="D20" s="9">
        <f>'📥 Rohdaten'!D20</f>
        <v>1</v>
      </c>
      <c r="E20" s="10">
        <f>'📥 Rohdaten'!E20</f>
        <v>5</v>
      </c>
      <c r="F20" s="30">
        <f t="shared" si="0"/>
        <v>2</v>
      </c>
      <c r="G20" s="31">
        <f t="shared" si="1"/>
        <v>2.2000000000000002</v>
      </c>
      <c r="H20" s="32" t="str">
        <f t="shared" si="2"/>
        <v>✅ OK</v>
      </c>
      <c r="I20" s="32" t="str">
        <f t="shared" si="3"/>
        <v>⚪ OK</v>
      </c>
      <c r="J20" s="9" t="str">
        <f>'📥 Rohdaten'!H20</f>
        <v>PKV</v>
      </c>
      <c r="K20" s="13" t="str">
        <f t="shared" si="4"/>
        <v>✅ Ausgewogen — weiter beobachten</v>
      </c>
    </row>
    <row r="21" spans="2:11" ht="18" customHeight="1" x14ac:dyDescent="0.2">
      <c r="B21" s="14" t="str">
        <f>'📥 Rohdaten'!B21</f>
        <v>https://www.fairbeamtet.de/blog/pkv-vorteile-beamte/</v>
      </c>
      <c r="C21" s="15">
        <f>'📥 Rohdaten'!C21</f>
        <v>2</v>
      </c>
      <c r="D21" s="15">
        <f>'📥 Rohdaten'!D21</f>
        <v>8</v>
      </c>
      <c r="E21" s="16">
        <f>'📥 Rohdaten'!E21</f>
        <v>4</v>
      </c>
      <c r="F21" s="33">
        <f t="shared" si="0"/>
        <v>-6</v>
      </c>
      <c r="G21" s="34">
        <f t="shared" si="1"/>
        <v>-6.5</v>
      </c>
      <c r="H21" s="23" t="str">
        <f t="shared" si="2"/>
        <v>⚠️ WASTER</v>
      </c>
      <c r="I21" s="23" t="str">
        <f t="shared" si="3"/>
        <v>🟡 P2</v>
      </c>
      <c r="J21" s="15" t="str">
        <f>'📥 Rohdaten'!H21</f>
        <v>Blog</v>
      </c>
      <c r="K21" s="19" t="str">
        <f t="shared" si="4"/>
        <v>⚠️ WASTER P2: Prüfen ob Outlinks sinnvoll sind</v>
      </c>
    </row>
    <row r="22" spans="2:11" ht="18" customHeight="1" x14ac:dyDescent="0.2">
      <c r="B22" s="8" t="str">
        <f>'📥 Rohdaten'!B22</f>
        <v>https://www.fairbeamtet.de/blog/beihilfe-erklaert/</v>
      </c>
      <c r="C22" s="9">
        <f>'📥 Rohdaten'!C22</f>
        <v>2</v>
      </c>
      <c r="D22" s="9">
        <f>'📥 Rohdaten'!D22</f>
        <v>6</v>
      </c>
      <c r="E22" s="10">
        <f>'📥 Rohdaten'!E22</f>
        <v>3</v>
      </c>
      <c r="F22" s="30">
        <f t="shared" si="0"/>
        <v>-4</v>
      </c>
      <c r="G22" s="31">
        <f t="shared" si="1"/>
        <v>-4.2</v>
      </c>
      <c r="H22" s="32" t="str">
        <f t="shared" si="2"/>
        <v>✅ OK</v>
      </c>
      <c r="I22" s="32" t="str">
        <f t="shared" si="3"/>
        <v>🟢 P3</v>
      </c>
      <c r="J22" s="9" t="str">
        <f>'📥 Rohdaten'!H22</f>
        <v>Blog</v>
      </c>
      <c r="K22" s="13" t="str">
        <f t="shared" si="4"/>
        <v>✅ Ausgewogen — weiter beobachten</v>
      </c>
    </row>
    <row r="23" spans="2:11" ht="18" customHeight="1" x14ac:dyDescent="0.2">
      <c r="B23" s="14" t="str">
        <f>'📥 Rohdaten'!B23</f>
        <v>https://www.fairbeamtet.de/kontakt/</v>
      </c>
      <c r="C23" s="15">
        <f>'📥 Rohdaten'!C23</f>
        <v>15</v>
      </c>
      <c r="D23" s="15">
        <f>'📥 Rohdaten'!D23</f>
        <v>1</v>
      </c>
      <c r="E23" s="16">
        <f>'📥 Rohdaten'!E23</f>
        <v>6</v>
      </c>
      <c r="F23" s="33">
        <f t="shared" si="0"/>
        <v>14</v>
      </c>
      <c r="G23" s="34">
        <f t="shared" si="1"/>
        <v>15.7</v>
      </c>
      <c r="H23" s="23" t="str">
        <f t="shared" si="2"/>
        <v>⚡ HOARDER</v>
      </c>
      <c r="I23" s="23" t="str">
        <f t="shared" si="3"/>
        <v>🟡 P2</v>
      </c>
      <c r="J23" s="15" t="str">
        <f>'📥 Rohdaten'!H23</f>
        <v>Sonstige</v>
      </c>
      <c r="K23" s="19" t="str">
        <f t="shared" si="4"/>
        <v>— Keine Optimierung nötig</v>
      </c>
    </row>
    <row r="24" spans="2:11" ht="18" customHeight="1" x14ac:dyDescent="0.2">
      <c r="B24" s="8" t="str">
        <f>'📥 Rohdaten'!B24</f>
        <v>https://www.fairbeamtet.de/ueber-uns/</v>
      </c>
      <c r="C24" s="9">
        <f>'📥 Rohdaten'!C24</f>
        <v>10</v>
      </c>
      <c r="D24" s="9">
        <f>'📥 Rohdaten'!D24</f>
        <v>1</v>
      </c>
      <c r="E24" s="10">
        <f>'📥 Rohdaten'!E24</f>
        <v>5</v>
      </c>
      <c r="F24" s="30">
        <f t="shared" si="0"/>
        <v>9</v>
      </c>
      <c r="G24" s="31">
        <f t="shared" si="1"/>
        <v>9.9</v>
      </c>
      <c r="H24" s="32" t="str">
        <f t="shared" si="2"/>
        <v>✅ OK</v>
      </c>
      <c r="I24" s="32" t="str">
        <f t="shared" si="3"/>
        <v>🟡 P2</v>
      </c>
      <c r="J24" s="9" t="str">
        <f>'📥 Rohdaten'!H24</f>
        <v>Sonstige</v>
      </c>
      <c r="K24" s="13" t="str">
        <f t="shared" si="4"/>
        <v>— Keine Optimierung nötig</v>
      </c>
    </row>
    <row r="25" spans="2:11" ht="18" customHeight="1" x14ac:dyDescent="0.2">
      <c r="B25" s="14" t="str">
        <f>'📥 Rohdaten'!B25</f>
        <v>https://www.fairbeamtet.de/impressum/</v>
      </c>
      <c r="C25" s="15">
        <f>'📥 Rohdaten'!C25</f>
        <v>18</v>
      </c>
      <c r="D25" s="15">
        <f>'📥 Rohdaten'!D25</f>
        <v>0</v>
      </c>
      <c r="E25" s="16">
        <f>'📥 Rohdaten'!E25</f>
        <v>2</v>
      </c>
      <c r="F25" s="33">
        <f t="shared" si="0"/>
        <v>18</v>
      </c>
      <c r="G25" s="34">
        <f t="shared" si="1"/>
        <v>18.7</v>
      </c>
      <c r="H25" s="23" t="str">
        <f t="shared" si="2"/>
        <v>⚡ HOARDER</v>
      </c>
      <c r="I25" s="23" t="str">
        <f t="shared" si="3"/>
        <v>🟡 P2</v>
      </c>
      <c r="J25" s="15" t="str">
        <f>'📥 Rohdaten'!H25</f>
        <v>Sonstige</v>
      </c>
      <c r="K25" s="19" t="str">
        <f t="shared" si="4"/>
        <v>— Keine Optimierung nötig</v>
      </c>
    </row>
    <row r="26" spans="2:11" ht="18" customHeight="1" x14ac:dyDescent="0.2">
      <c r="B26" s="8" t="str">
        <f>'📥 Rohdaten'!B26</f>
        <v>https://www.fairbeamtet.de/datenschutz/</v>
      </c>
      <c r="C26" s="9">
        <f>'📥 Rohdaten'!C26</f>
        <v>17</v>
      </c>
      <c r="D26" s="9">
        <f>'📥 Rohdaten'!D26</f>
        <v>0</v>
      </c>
      <c r="E26" s="10">
        <f>'📥 Rohdaten'!E26</f>
        <v>2</v>
      </c>
      <c r="F26" s="30">
        <f t="shared" si="0"/>
        <v>17</v>
      </c>
      <c r="G26" s="31">
        <f t="shared" si="1"/>
        <v>17.7</v>
      </c>
      <c r="H26" s="32" t="str">
        <f t="shared" si="2"/>
        <v>⚡ HOARDER</v>
      </c>
      <c r="I26" s="32" t="str">
        <f t="shared" si="3"/>
        <v>🟡 P2</v>
      </c>
      <c r="J26" s="9" t="str">
        <f>'📥 Rohdaten'!H26</f>
        <v>Sonstige</v>
      </c>
      <c r="K26" s="13" t="str">
        <f t="shared" si="4"/>
        <v>— Keine Optimierung nötig</v>
      </c>
    </row>
    <row r="27" spans="2:11" ht="18" customHeight="1" x14ac:dyDescent="0.2">
      <c r="B27" s="14" t="str">
        <f>'📥 Rohdaten'!B27</f>
        <v>https://www.fairbeamtet.de/buv-kosten/</v>
      </c>
      <c r="C27" s="15">
        <f>'📥 Rohdaten'!C27</f>
        <v>5</v>
      </c>
      <c r="D27" s="15">
        <f>'📥 Rohdaten'!D27</f>
        <v>3</v>
      </c>
      <c r="E27" s="16">
        <f>'📥 Rohdaten'!E27</f>
        <v>9</v>
      </c>
      <c r="F27" s="33">
        <f t="shared" si="0"/>
        <v>2</v>
      </c>
      <c r="G27" s="34">
        <f t="shared" si="1"/>
        <v>2.4</v>
      </c>
      <c r="H27" s="23" t="str">
        <f t="shared" si="2"/>
        <v>✅ OK</v>
      </c>
      <c r="I27" s="23" t="str">
        <f t="shared" si="3"/>
        <v>⚪ OK</v>
      </c>
      <c r="J27" s="15" t="str">
        <f>'📥 Rohdaten'!H27</f>
        <v>BUV</v>
      </c>
      <c r="K27" s="19" t="str">
        <f t="shared" si="4"/>
        <v>✅ Ausgewogen — weiter beobachten</v>
      </c>
    </row>
    <row r="28" spans="2:11" ht="18" customHeight="1" x14ac:dyDescent="0.2">
      <c r="B28" s="8" t="str">
        <f>'📥 Rohdaten'!B28</f>
        <v>https://www.fairbeamtet.de/berufsunfaehigkeit-beamte/</v>
      </c>
      <c r="C28" s="9">
        <f>'📥 Rohdaten'!C28</f>
        <v>6</v>
      </c>
      <c r="D28" s="9">
        <f>'📥 Rohdaten'!D28</f>
        <v>4</v>
      </c>
      <c r="E28" s="10">
        <f>'📥 Rohdaten'!E28</f>
        <v>11</v>
      </c>
      <c r="F28" s="30">
        <f t="shared" si="0"/>
        <v>2</v>
      </c>
      <c r="G28" s="31">
        <f t="shared" si="1"/>
        <v>2.4</v>
      </c>
      <c r="H28" s="32" t="str">
        <f t="shared" si="2"/>
        <v>✅ OK</v>
      </c>
      <c r="I28" s="32" t="str">
        <f t="shared" si="3"/>
        <v>⚪ OK</v>
      </c>
      <c r="J28" s="9" t="str">
        <f>'📥 Rohdaten'!H28</f>
        <v>BUV</v>
      </c>
      <c r="K28" s="13" t="str">
        <f t="shared" si="4"/>
        <v>✅ Ausgewogen — weiter beobachten</v>
      </c>
    </row>
    <row r="29" spans="2:11" ht="18" customHeight="1" x14ac:dyDescent="0.2">
      <c r="B29" s="14" t="str">
        <f>'📥 Rohdaten'!B29</f>
        <v>https://www.fairbeamtet.de/pkv-beamte-angehoerige/</v>
      </c>
      <c r="C29" s="15">
        <f>'📥 Rohdaten'!C29</f>
        <v>4</v>
      </c>
      <c r="D29" s="15">
        <f>'📥 Rohdaten'!D29</f>
        <v>2</v>
      </c>
      <c r="E29" s="16">
        <f>'📥 Rohdaten'!E29</f>
        <v>7</v>
      </c>
      <c r="F29" s="33">
        <f t="shared" si="0"/>
        <v>2</v>
      </c>
      <c r="G29" s="34">
        <f t="shared" si="1"/>
        <v>2.2999999999999998</v>
      </c>
      <c r="H29" s="23" t="str">
        <f t="shared" si="2"/>
        <v>✅ OK</v>
      </c>
      <c r="I29" s="23" t="str">
        <f t="shared" si="3"/>
        <v>⚪ OK</v>
      </c>
      <c r="J29" s="15" t="str">
        <f>'📥 Rohdaten'!H29</f>
        <v>PKV</v>
      </c>
      <c r="K29" s="19" t="str">
        <f t="shared" si="4"/>
        <v>✅ Ausgewogen — weiter beobachten</v>
      </c>
    </row>
    <row r="30" spans="2:11" ht="18" customHeight="1" x14ac:dyDescent="0.2">
      <c r="B30" s="8" t="str">
        <f>'📥 Rohdaten'!B30</f>
        <v>https://www.fairbeamtet.de/pkv-selbstbeteiligung/</v>
      </c>
      <c r="C30" s="9">
        <f>'📥 Rohdaten'!C30</f>
        <v>3</v>
      </c>
      <c r="D30" s="9">
        <f>'📥 Rohdaten'!D30</f>
        <v>2</v>
      </c>
      <c r="E30" s="10">
        <f>'📥 Rohdaten'!E30</f>
        <v>5</v>
      </c>
      <c r="F30" s="30">
        <f t="shared" si="0"/>
        <v>1</v>
      </c>
      <c r="G30" s="31">
        <f t="shared" si="1"/>
        <v>1.1000000000000001</v>
      </c>
      <c r="H30" s="32" t="str">
        <f t="shared" si="2"/>
        <v>✅ OK</v>
      </c>
      <c r="I30" s="32" t="str">
        <f t="shared" si="3"/>
        <v>⚪ OK</v>
      </c>
      <c r="J30" s="9" t="str">
        <f>'📥 Rohdaten'!H30</f>
        <v>PKV</v>
      </c>
      <c r="K30" s="13" t="str">
        <f t="shared" si="4"/>
        <v>✅ Ausgewogen — weiter beobachten</v>
      </c>
    </row>
    <row r="31" spans="2:11" ht="18" customHeight="1" x14ac:dyDescent="0.2">
      <c r="B31" s="14" t="str">
        <f>'📥 Rohdaten'!B31</f>
        <v>https://www.fairbeamtet.de/blog/buv-wichtig/</v>
      </c>
      <c r="C31" s="15">
        <f>'📥 Rohdaten'!C31</f>
        <v>1</v>
      </c>
      <c r="D31" s="15">
        <f>'📥 Rohdaten'!D31</f>
        <v>7</v>
      </c>
      <c r="E31" s="16">
        <f>'📥 Rohdaten'!E31</f>
        <v>2</v>
      </c>
      <c r="F31" s="33">
        <f t="shared" si="0"/>
        <v>-6</v>
      </c>
      <c r="G31" s="34">
        <f t="shared" si="1"/>
        <v>-6.2</v>
      </c>
      <c r="H31" s="23" t="str">
        <f t="shared" si="2"/>
        <v>⚠️ WASTER</v>
      </c>
      <c r="I31" s="23" t="str">
        <f t="shared" si="3"/>
        <v>🟡 P2</v>
      </c>
      <c r="J31" s="15" t="str">
        <f>'📥 Rohdaten'!H31</f>
        <v>Blog</v>
      </c>
      <c r="K31" s="19" t="str">
        <f t="shared" si="4"/>
        <v>⚠️ WASTER P2: Prüfen ob Outlinks sinnvoll sind</v>
      </c>
    </row>
    <row r="32" spans="2:11" ht="18" customHeight="1" x14ac:dyDescent="0.2">
      <c r="B32" s="8" t="str">
        <f>'📥 Rohdaten'!B32</f>
        <v>https://www.fairbeamtet.de/glossar/beihilfe/</v>
      </c>
      <c r="C32" s="9">
        <f>'📥 Rohdaten'!C32</f>
        <v>3</v>
      </c>
      <c r="D32" s="9">
        <f>'📥 Rohdaten'!D32</f>
        <v>9</v>
      </c>
      <c r="E32" s="10">
        <f>'📥 Rohdaten'!E32</f>
        <v>4</v>
      </c>
      <c r="F32" s="30">
        <f t="shared" si="0"/>
        <v>-6</v>
      </c>
      <c r="G32" s="31">
        <f t="shared" si="1"/>
        <v>-6.5</v>
      </c>
      <c r="H32" s="32" t="str">
        <f t="shared" si="2"/>
        <v>⚠️ WASTER</v>
      </c>
      <c r="I32" s="32" t="str">
        <f t="shared" si="3"/>
        <v>🟡 P2</v>
      </c>
      <c r="J32" s="9" t="str">
        <f>'📥 Rohdaten'!H32</f>
        <v>Kategorie</v>
      </c>
      <c r="K32" s="13" t="str">
        <f t="shared" si="4"/>
        <v>⚠️ WASTER P2: Prüfen ob Outlinks sinnvoll sind</v>
      </c>
    </row>
    <row r="33" spans="2:11" ht="18" customHeight="1" x14ac:dyDescent="0.2">
      <c r="B33" s="14" t="str">
        <f>'📥 Rohdaten'!B33</f>
        <v>https://www.fairbeamtet.de/glossar/pkv/</v>
      </c>
      <c r="C33" s="15">
        <f>'📥 Rohdaten'!C33</f>
        <v>4</v>
      </c>
      <c r="D33" s="15">
        <f>'📥 Rohdaten'!D33</f>
        <v>11</v>
      </c>
      <c r="E33" s="16">
        <f>'📥 Rohdaten'!E33</f>
        <v>5</v>
      </c>
      <c r="F33" s="33">
        <f t="shared" si="0"/>
        <v>-7</v>
      </c>
      <c r="G33" s="34">
        <f t="shared" si="1"/>
        <v>-7.7</v>
      </c>
      <c r="H33" s="23" t="str">
        <f t="shared" si="2"/>
        <v>⚠️ WASTER</v>
      </c>
      <c r="I33" s="23" t="str">
        <f t="shared" si="3"/>
        <v>🟡 P2</v>
      </c>
      <c r="J33" s="15" t="str">
        <f>'📥 Rohdaten'!H33</f>
        <v>Kategorie</v>
      </c>
      <c r="K33" s="19" t="str">
        <f t="shared" si="4"/>
        <v>⚠️ WASTER P2: Prüfen ob Outlinks sinnvoll sind</v>
      </c>
    </row>
  </sheetData>
  <mergeCells count="1">
    <mergeCell ref="B2:K2"/>
  </mergeCells>
  <conditionalFormatting sqref="F4:F33">
    <cfRule type="colorScale" priority="2">
      <colorScale>
        <cfvo type="min"/>
        <cfvo type="num" val="0"/>
        <cfvo type="max"/>
        <color rgb="FFE63946"/>
        <color rgb="FFFFFFFF"/>
        <color rgb="FF2DC653"/>
      </colorScale>
    </cfRule>
  </conditionalFormatting>
  <conditionalFormatting sqref="G4:G33">
    <cfRule type="colorScale" priority="3">
      <colorScale>
        <cfvo type="min"/>
        <cfvo type="num" val="0"/>
        <cfvo type="max"/>
        <color rgb="FFE63946"/>
        <color rgb="FFFFFFFF"/>
        <color rgb="FF0F4C75"/>
      </colorScale>
    </cfRule>
  </conditionalFormatting>
  <pageMargins left="0.75" right="0.75" top="1" bottom="1" header="0.511811023622047" footer="0.511811023622047"/>
  <pageSetup paperSize="9" scale="47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I22"/>
  <sheetViews>
    <sheetView showGridLines="0" zoomScaleNormal="100" workbookViewId="0">
      <selection activeCell="I22" sqref="B4:I22"/>
    </sheetView>
  </sheetViews>
  <sheetFormatPr baseColWidth="10" defaultColWidth="8.6640625" defaultRowHeight="15" x14ac:dyDescent="0.2"/>
  <cols>
    <col min="1" max="1" width="2" customWidth="1"/>
    <col min="2" max="2" width="60" customWidth="1"/>
    <col min="3" max="4" width="12" customWidth="1"/>
    <col min="5" max="5" width="10" customWidth="1"/>
    <col min="6" max="6" width="14" customWidth="1"/>
    <col min="7" max="7" width="17" customWidth="1"/>
    <col min="8" max="8" width="12" customWidth="1"/>
    <col min="9" max="9" width="74.33203125" customWidth="1"/>
    <col min="10" max="10" width="2" customWidth="1"/>
  </cols>
  <sheetData>
    <row r="1" spans="2:9" ht="7.5" customHeight="1" x14ac:dyDescent="0.2"/>
    <row r="2" spans="2:9" ht="36" customHeight="1" x14ac:dyDescent="0.2">
      <c r="B2" s="62" t="s">
        <v>98</v>
      </c>
      <c r="C2" s="62"/>
      <c r="D2" s="62"/>
      <c r="E2" s="62"/>
      <c r="F2" s="62"/>
      <c r="G2" s="62"/>
      <c r="H2" s="62"/>
      <c r="I2" s="62"/>
    </row>
    <row r="4" spans="2:9" ht="27.75" customHeight="1" x14ac:dyDescent="0.2">
      <c r="B4" s="65" t="s">
        <v>99</v>
      </c>
      <c r="C4" s="65"/>
      <c r="D4" s="65"/>
      <c r="E4" s="65"/>
      <c r="F4" s="65"/>
      <c r="G4" s="65"/>
      <c r="H4" s="65"/>
      <c r="I4" s="65"/>
    </row>
    <row r="5" spans="2:9" ht="31.5" customHeight="1" x14ac:dyDescent="0.2">
      <c r="B5" s="25" t="s">
        <v>43</v>
      </c>
      <c r="C5" s="25" t="s">
        <v>89</v>
      </c>
      <c r="D5" s="25" t="s">
        <v>90</v>
      </c>
      <c r="E5" s="25" t="s">
        <v>91</v>
      </c>
      <c r="F5" s="25" t="s">
        <v>100</v>
      </c>
      <c r="G5" s="25" t="s">
        <v>101</v>
      </c>
      <c r="H5" s="25" t="s">
        <v>95</v>
      </c>
      <c r="I5" s="25" t="s">
        <v>102</v>
      </c>
    </row>
    <row r="6" spans="2:9" ht="18" customHeight="1" x14ac:dyDescent="0.2">
      <c r="B6" s="14" t="s">
        <v>78</v>
      </c>
      <c r="C6" s="15">
        <v>18</v>
      </c>
      <c r="D6" s="15">
        <v>0</v>
      </c>
      <c r="E6" s="15">
        <v>2</v>
      </c>
      <c r="F6" s="33">
        <v>18</v>
      </c>
      <c r="G6" s="34">
        <v>18.7</v>
      </c>
      <c r="H6" s="23" t="s">
        <v>103</v>
      </c>
      <c r="I6" s="13" t="s">
        <v>104</v>
      </c>
    </row>
    <row r="7" spans="2:9" ht="18" customHeight="1" x14ac:dyDescent="0.2">
      <c r="B7" s="14" t="s">
        <v>79</v>
      </c>
      <c r="C7" s="15">
        <v>17</v>
      </c>
      <c r="D7" s="15">
        <v>0</v>
      </c>
      <c r="E7" s="15">
        <v>2</v>
      </c>
      <c r="F7" s="33">
        <v>17</v>
      </c>
      <c r="G7" s="34">
        <v>17.7</v>
      </c>
      <c r="H7" s="23" t="s">
        <v>103</v>
      </c>
      <c r="I7" s="13" t="s">
        <v>104</v>
      </c>
    </row>
    <row r="8" spans="2:9" ht="18" customHeight="1" x14ac:dyDescent="0.2">
      <c r="B8" s="14" t="s">
        <v>75</v>
      </c>
      <c r="C8" s="15">
        <v>15</v>
      </c>
      <c r="D8" s="15">
        <v>1</v>
      </c>
      <c r="E8" s="15">
        <v>6</v>
      </c>
      <c r="F8" s="33">
        <v>14</v>
      </c>
      <c r="G8" s="34">
        <v>15.7</v>
      </c>
      <c r="H8" s="23" t="s">
        <v>103</v>
      </c>
      <c r="I8" s="13" t="s">
        <v>104</v>
      </c>
    </row>
    <row r="9" spans="2:9" ht="18" customHeight="1" x14ac:dyDescent="0.2">
      <c r="B9" s="14" t="s">
        <v>77</v>
      </c>
      <c r="C9" s="15">
        <v>10</v>
      </c>
      <c r="D9" s="15">
        <v>1</v>
      </c>
      <c r="E9" s="15">
        <v>5</v>
      </c>
      <c r="F9" s="33">
        <v>9</v>
      </c>
      <c r="G9" s="34">
        <v>9.9</v>
      </c>
      <c r="H9" s="23" t="s">
        <v>103</v>
      </c>
      <c r="I9" s="13" t="s">
        <v>105</v>
      </c>
    </row>
    <row r="10" spans="2:9" ht="19" x14ac:dyDescent="0.25">
      <c r="B10" s="24"/>
      <c r="C10" s="24"/>
      <c r="D10" s="24"/>
      <c r="E10" s="24"/>
      <c r="F10" s="24"/>
      <c r="G10" s="24"/>
      <c r="H10" s="24"/>
      <c r="I10" s="24"/>
    </row>
    <row r="11" spans="2:9" ht="27.75" customHeight="1" x14ac:dyDescent="0.2">
      <c r="B11" s="66" t="s">
        <v>106</v>
      </c>
      <c r="C11" s="66"/>
      <c r="D11" s="66"/>
      <c r="E11" s="66"/>
      <c r="F11" s="66"/>
      <c r="G11" s="66"/>
      <c r="H11" s="66"/>
      <c r="I11" s="66"/>
    </row>
    <row r="12" spans="2:9" ht="31.5" customHeight="1" x14ac:dyDescent="0.2">
      <c r="B12" s="25" t="s">
        <v>43</v>
      </c>
      <c r="C12" s="25" t="s">
        <v>89</v>
      </c>
      <c r="D12" s="25" t="s">
        <v>90</v>
      </c>
      <c r="E12" s="25" t="s">
        <v>91</v>
      </c>
      <c r="F12" s="25" t="s">
        <v>100</v>
      </c>
      <c r="G12" s="25" t="s">
        <v>101</v>
      </c>
      <c r="H12" s="25" t="s">
        <v>95</v>
      </c>
      <c r="I12" s="25" t="s">
        <v>102</v>
      </c>
    </row>
    <row r="13" spans="2:9" ht="18" customHeight="1" x14ac:dyDescent="0.2">
      <c r="B13" s="14" t="s">
        <v>51</v>
      </c>
      <c r="C13" s="15">
        <v>0</v>
      </c>
      <c r="D13" s="15">
        <v>45</v>
      </c>
      <c r="E13" s="15">
        <v>32</v>
      </c>
      <c r="F13" s="35">
        <v>-45</v>
      </c>
      <c r="G13" s="36">
        <v>-73.8</v>
      </c>
      <c r="H13" s="23" t="s">
        <v>107</v>
      </c>
      <c r="I13" s="13" t="s">
        <v>108</v>
      </c>
    </row>
    <row r="14" spans="2:9" ht="18" customHeight="1" x14ac:dyDescent="0.2">
      <c r="B14" s="14" t="s">
        <v>64</v>
      </c>
      <c r="C14" s="15">
        <v>3</v>
      </c>
      <c r="D14" s="15">
        <v>35</v>
      </c>
      <c r="E14" s="15">
        <v>10</v>
      </c>
      <c r="F14" s="35">
        <v>-32</v>
      </c>
      <c r="G14" s="36">
        <v>-38.4</v>
      </c>
      <c r="H14" s="23" t="s">
        <v>107</v>
      </c>
      <c r="I14" s="13" t="s">
        <v>108</v>
      </c>
    </row>
    <row r="15" spans="2:9" ht="18" customHeight="1" x14ac:dyDescent="0.2">
      <c r="B15" s="14" t="s">
        <v>60</v>
      </c>
      <c r="C15" s="15">
        <v>6</v>
      </c>
      <c r="D15" s="15">
        <v>28</v>
      </c>
      <c r="E15" s="15">
        <v>15</v>
      </c>
      <c r="F15" s="35">
        <v>-22</v>
      </c>
      <c r="G15" s="36">
        <v>-28.6</v>
      </c>
      <c r="H15" s="23" t="s">
        <v>107</v>
      </c>
      <c r="I15" s="13" t="s">
        <v>108</v>
      </c>
    </row>
    <row r="16" spans="2:9" ht="18" customHeight="1" x14ac:dyDescent="0.2">
      <c r="B16" s="14" t="s">
        <v>57</v>
      </c>
      <c r="C16" s="15">
        <v>14</v>
      </c>
      <c r="D16" s="15">
        <v>20</v>
      </c>
      <c r="E16" s="15">
        <v>25</v>
      </c>
      <c r="F16" s="35">
        <v>-6</v>
      </c>
      <c r="G16" s="36">
        <v>-9</v>
      </c>
      <c r="H16" s="23" t="s">
        <v>107</v>
      </c>
      <c r="I16" s="13" t="s">
        <v>108</v>
      </c>
    </row>
    <row r="17" spans="2:9" ht="18" customHeight="1" x14ac:dyDescent="0.2">
      <c r="B17" s="14" t="s">
        <v>86</v>
      </c>
      <c r="C17" s="15">
        <v>4</v>
      </c>
      <c r="D17" s="15">
        <v>11</v>
      </c>
      <c r="E17" s="15">
        <v>5</v>
      </c>
      <c r="F17" s="35">
        <v>-7</v>
      </c>
      <c r="G17" s="36">
        <v>-7.7</v>
      </c>
      <c r="H17" s="23" t="s">
        <v>103</v>
      </c>
      <c r="I17" s="13" t="s">
        <v>108</v>
      </c>
    </row>
    <row r="18" spans="2:9" ht="18" customHeight="1" x14ac:dyDescent="0.2">
      <c r="B18" s="14" t="s">
        <v>73</v>
      </c>
      <c r="C18" s="15">
        <v>2</v>
      </c>
      <c r="D18" s="15">
        <v>8</v>
      </c>
      <c r="E18" s="15">
        <v>4</v>
      </c>
      <c r="F18" s="35">
        <v>-6</v>
      </c>
      <c r="G18" s="36">
        <v>-6.5</v>
      </c>
      <c r="H18" s="23" t="s">
        <v>103</v>
      </c>
      <c r="I18" s="13" t="s">
        <v>108</v>
      </c>
    </row>
    <row r="19" spans="2:9" ht="18" customHeight="1" x14ac:dyDescent="0.2">
      <c r="B19" s="14" t="s">
        <v>85</v>
      </c>
      <c r="C19" s="15">
        <v>3</v>
      </c>
      <c r="D19" s="15">
        <v>9</v>
      </c>
      <c r="E19" s="15">
        <v>4</v>
      </c>
      <c r="F19" s="35">
        <v>-6</v>
      </c>
      <c r="G19" s="36">
        <v>-6.5</v>
      </c>
      <c r="H19" s="23" t="s">
        <v>103</v>
      </c>
      <c r="I19" s="13" t="s">
        <v>108</v>
      </c>
    </row>
    <row r="20" spans="2:9" ht="18" customHeight="1" x14ac:dyDescent="0.2">
      <c r="B20" s="14" t="s">
        <v>53</v>
      </c>
      <c r="C20" s="15">
        <v>18</v>
      </c>
      <c r="D20" s="15">
        <v>22</v>
      </c>
      <c r="E20" s="15">
        <v>28</v>
      </c>
      <c r="F20" s="35">
        <v>-4</v>
      </c>
      <c r="G20" s="36">
        <v>-6.2</v>
      </c>
      <c r="H20" s="23" t="s">
        <v>103</v>
      </c>
      <c r="I20" s="13" t="s">
        <v>109</v>
      </c>
    </row>
    <row r="21" spans="2:9" ht="18" customHeight="1" x14ac:dyDescent="0.2">
      <c r="B21" s="14" t="s">
        <v>84</v>
      </c>
      <c r="C21" s="15">
        <v>1</v>
      </c>
      <c r="D21" s="15">
        <v>7</v>
      </c>
      <c r="E21" s="15">
        <v>2</v>
      </c>
      <c r="F21" s="35">
        <v>-6</v>
      </c>
      <c r="G21" s="36">
        <v>-6.2</v>
      </c>
      <c r="H21" s="23" t="s">
        <v>103</v>
      </c>
      <c r="I21" s="13" t="s">
        <v>108</v>
      </c>
    </row>
    <row r="22" spans="2:9" ht="18" customHeight="1" x14ac:dyDescent="0.2">
      <c r="B22" s="14" t="s">
        <v>74</v>
      </c>
      <c r="C22" s="15">
        <v>2</v>
      </c>
      <c r="D22" s="15">
        <v>6</v>
      </c>
      <c r="E22" s="15">
        <v>3</v>
      </c>
      <c r="F22" s="35">
        <v>-4</v>
      </c>
      <c r="G22" s="36">
        <v>-4.2</v>
      </c>
      <c r="H22" s="23" t="s">
        <v>103</v>
      </c>
      <c r="I22" s="13" t="s">
        <v>109</v>
      </c>
    </row>
  </sheetData>
  <mergeCells count="3">
    <mergeCell ref="B2:I2"/>
    <mergeCell ref="B4:I4"/>
    <mergeCell ref="B11:I11"/>
  </mergeCells>
  <pageMargins left="0.75" right="0.75" top="1" bottom="1" header="0.511811023622047" footer="0.511811023622047"/>
  <pageSetup paperSize="9" scale="57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I24"/>
  <sheetViews>
    <sheetView showGridLines="0" zoomScaleNormal="100" workbookViewId="0">
      <selection activeCell="I24" sqref="B1:I24"/>
    </sheetView>
  </sheetViews>
  <sheetFormatPr baseColWidth="10" defaultColWidth="8.6640625" defaultRowHeight="15" x14ac:dyDescent="0.2"/>
  <cols>
    <col min="1" max="1" width="2" customWidth="1"/>
    <col min="2" max="2" width="6" customWidth="1"/>
    <col min="3" max="3" width="66" customWidth="1"/>
    <col min="4" max="4" width="19.33203125" customWidth="1"/>
    <col min="5" max="5" width="12" customWidth="1"/>
    <col min="6" max="6" width="16.1640625" customWidth="1"/>
    <col min="7" max="7" width="14" customWidth="1"/>
    <col min="8" max="8" width="12" customWidth="1"/>
    <col min="9" max="9" width="78.1640625" customWidth="1"/>
    <col min="10" max="10" width="2" customWidth="1"/>
  </cols>
  <sheetData>
    <row r="1" spans="2:9" ht="7.5" customHeight="1" x14ac:dyDescent="0.2"/>
    <row r="2" spans="2:9" ht="36" customHeight="1" x14ac:dyDescent="0.2">
      <c r="B2" s="67" t="s">
        <v>110</v>
      </c>
      <c r="C2" s="67"/>
      <c r="D2" s="67"/>
      <c r="E2" s="67"/>
      <c r="F2" s="67"/>
      <c r="G2" s="67"/>
      <c r="H2" s="67"/>
      <c r="I2" s="67"/>
    </row>
    <row r="3" spans="2:9" ht="21.75" customHeight="1" x14ac:dyDescent="0.2">
      <c r="B3" s="68" t="s">
        <v>111</v>
      </c>
      <c r="C3" s="68"/>
      <c r="D3" s="68"/>
      <c r="E3" s="68"/>
      <c r="F3" s="68"/>
      <c r="G3" s="68"/>
      <c r="H3" s="68"/>
      <c r="I3" s="68"/>
    </row>
    <row r="4" spans="2:9" ht="36" customHeight="1" x14ac:dyDescent="0.2">
      <c r="B4" s="25" t="s">
        <v>112</v>
      </c>
      <c r="C4" s="25" t="s">
        <v>43</v>
      </c>
      <c r="D4" s="25" t="s">
        <v>113</v>
      </c>
      <c r="E4" s="25" t="s">
        <v>100</v>
      </c>
      <c r="F4" s="25" t="s">
        <v>101</v>
      </c>
      <c r="G4" s="25" t="s">
        <v>95</v>
      </c>
      <c r="H4" s="25" t="s">
        <v>96</v>
      </c>
      <c r="I4" s="25" t="s">
        <v>114</v>
      </c>
    </row>
    <row r="5" spans="2:9" ht="19.5" customHeight="1" x14ac:dyDescent="0.2">
      <c r="B5" s="23">
        <v>1</v>
      </c>
      <c r="C5" s="14" t="s">
        <v>51</v>
      </c>
      <c r="D5" s="23" t="s">
        <v>115</v>
      </c>
      <c r="E5" s="35">
        <v>-45</v>
      </c>
      <c r="F5" s="36">
        <v>-73.8</v>
      </c>
      <c r="G5" s="37" t="s">
        <v>107</v>
      </c>
      <c r="H5" s="15" t="s">
        <v>52</v>
      </c>
      <c r="I5" s="13" t="s">
        <v>116</v>
      </c>
    </row>
    <row r="6" spans="2:9" ht="19.5" customHeight="1" x14ac:dyDescent="0.2">
      <c r="B6" s="32">
        <v>2</v>
      </c>
      <c r="C6" s="8" t="s">
        <v>64</v>
      </c>
      <c r="D6" s="32" t="s">
        <v>115</v>
      </c>
      <c r="E6" s="38">
        <v>-32</v>
      </c>
      <c r="F6" s="39">
        <v>-38.4</v>
      </c>
      <c r="G6" s="40" t="s">
        <v>103</v>
      </c>
      <c r="H6" s="9" t="s">
        <v>65</v>
      </c>
      <c r="I6" s="13" t="s">
        <v>116</v>
      </c>
    </row>
    <row r="7" spans="2:9" ht="19.5" customHeight="1" x14ac:dyDescent="0.2">
      <c r="B7" s="23">
        <v>3</v>
      </c>
      <c r="C7" s="14" t="s">
        <v>60</v>
      </c>
      <c r="D7" s="23" t="s">
        <v>115</v>
      </c>
      <c r="E7" s="35">
        <v>-22</v>
      </c>
      <c r="F7" s="36">
        <v>-28.6</v>
      </c>
      <c r="G7" s="37" t="s">
        <v>107</v>
      </c>
      <c r="H7" s="15" t="s">
        <v>61</v>
      </c>
      <c r="I7" s="13" t="s">
        <v>116</v>
      </c>
    </row>
    <row r="8" spans="2:9" ht="19.5" customHeight="1" x14ac:dyDescent="0.2">
      <c r="B8" s="32">
        <v>4</v>
      </c>
      <c r="C8" s="8" t="s">
        <v>78</v>
      </c>
      <c r="D8" s="32" t="s">
        <v>117</v>
      </c>
      <c r="E8" s="41">
        <v>18</v>
      </c>
      <c r="F8" s="42">
        <v>18.7</v>
      </c>
      <c r="G8" s="40" t="s">
        <v>103</v>
      </c>
      <c r="H8" s="9" t="s">
        <v>76</v>
      </c>
      <c r="I8" s="13" t="s">
        <v>118</v>
      </c>
    </row>
    <row r="9" spans="2:9" ht="19.5" customHeight="1" x14ac:dyDescent="0.2">
      <c r="B9" s="23">
        <v>5</v>
      </c>
      <c r="C9" s="14" t="s">
        <v>79</v>
      </c>
      <c r="D9" s="23" t="s">
        <v>117</v>
      </c>
      <c r="E9" s="43">
        <v>17</v>
      </c>
      <c r="F9" s="44">
        <v>17.7</v>
      </c>
      <c r="G9" s="40" t="s">
        <v>103</v>
      </c>
      <c r="H9" s="15" t="s">
        <v>76</v>
      </c>
      <c r="I9" s="13" t="s">
        <v>118</v>
      </c>
    </row>
    <row r="10" spans="2:9" ht="19.5" customHeight="1" x14ac:dyDescent="0.2">
      <c r="B10" s="32">
        <v>6</v>
      </c>
      <c r="C10" s="8" t="s">
        <v>75</v>
      </c>
      <c r="D10" s="32" t="s">
        <v>117</v>
      </c>
      <c r="E10" s="41">
        <v>14</v>
      </c>
      <c r="F10" s="42">
        <v>15.7</v>
      </c>
      <c r="G10" s="40" t="s">
        <v>103</v>
      </c>
      <c r="H10" s="9" t="s">
        <v>76</v>
      </c>
      <c r="I10" s="13" t="s">
        <v>118</v>
      </c>
    </row>
    <row r="11" spans="2:9" ht="19.5" customHeight="1" x14ac:dyDescent="0.2">
      <c r="B11" s="23">
        <v>7</v>
      </c>
      <c r="C11" s="14" t="s">
        <v>77</v>
      </c>
      <c r="D11" s="23" t="s">
        <v>117</v>
      </c>
      <c r="E11" s="43">
        <v>9</v>
      </c>
      <c r="F11" s="44">
        <v>9.9</v>
      </c>
      <c r="G11" s="40" t="s">
        <v>103</v>
      </c>
      <c r="H11" s="15" t="s">
        <v>76</v>
      </c>
      <c r="I11" s="13" t="s">
        <v>118</v>
      </c>
    </row>
    <row r="12" spans="2:9" ht="19.5" customHeight="1" x14ac:dyDescent="0.2">
      <c r="B12" s="32">
        <v>8</v>
      </c>
      <c r="C12" s="8" t="s">
        <v>57</v>
      </c>
      <c r="D12" s="32" t="s">
        <v>115</v>
      </c>
      <c r="E12" s="38">
        <v>-6</v>
      </c>
      <c r="F12" s="39">
        <v>-9</v>
      </c>
      <c r="G12" s="40" t="s">
        <v>103</v>
      </c>
      <c r="H12" s="9" t="s">
        <v>58</v>
      </c>
      <c r="I12" s="13" t="s">
        <v>116</v>
      </c>
    </row>
    <row r="13" spans="2:9" ht="19.5" customHeight="1" x14ac:dyDescent="0.2">
      <c r="B13" s="23">
        <v>9</v>
      </c>
      <c r="C13" s="14" t="s">
        <v>86</v>
      </c>
      <c r="D13" s="23" t="s">
        <v>115</v>
      </c>
      <c r="E13" s="35">
        <v>-7</v>
      </c>
      <c r="F13" s="36">
        <v>-7.7</v>
      </c>
      <c r="G13" s="40" t="s">
        <v>103</v>
      </c>
      <c r="H13" s="15" t="s">
        <v>65</v>
      </c>
      <c r="I13" s="13" t="s">
        <v>116</v>
      </c>
    </row>
    <row r="14" spans="2:9" ht="19.5" customHeight="1" x14ac:dyDescent="0.2">
      <c r="B14" s="32">
        <v>10</v>
      </c>
      <c r="C14" s="8" t="s">
        <v>73</v>
      </c>
      <c r="D14" s="32" t="s">
        <v>115</v>
      </c>
      <c r="E14" s="38">
        <v>-6</v>
      </c>
      <c r="F14" s="39">
        <v>-6.5</v>
      </c>
      <c r="G14" s="40" t="s">
        <v>103</v>
      </c>
      <c r="H14" s="9" t="s">
        <v>61</v>
      </c>
      <c r="I14" s="13" t="s">
        <v>116</v>
      </c>
    </row>
    <row r="15" spans="2:9" ht="19.5" customHeight="1" x14ac:dyDescent="0.2">
      <c r="B15" s="23">
        <v>11</v>
      </c>
      <c r="C15" s="14" t="s">
        <v>85</v>
      </c>
      <c r="D15" s="23" t="s">
        <v>115</v>
      </c>
      <c r="E15" s="35">
        <v>-6</v>
      </c>
      <c r="F15" s="36">
        <v>-6.5</v>
      </c>
      <c r="G15" s="40" t="s">
        <v>103</v>
      </c>
      <c r="H15" s="15" t="s">
        <v>65</v>
      </c>
      <c r="I15" s="13" t="s">
        <v>116</v>
      </c>
    </row>
    <row r="16" spans="2:9" ht="19.5" customHeight="1" x14ac:dyDescent="0.2">
      <c r="B16" s="32">
        <v>12</v>
      </c>
      <c r="C16" s="8" t="s">
        <v>53</v>
      </c>
      <c r="D16" s="32" t="s">
        <v>115</v>
      </c>
      <c r="E16" s="38">
        <v>-4</v>
      </c>
      <c r="F16" s="39">
        <v>-6.2</v>
      </c>
      <c r="G16" s="22" t="s">
        <v>119</v>
      </c>
      <c r="H16" s="9" t="s">
        <v>54</v>
      </c>
      <c r="I16" s="13" t="s">
        <v>120</v>
      </c>
    </row>
    <row r="17" spans="2:9" ht="19.5" customHeight="1" x14ac:dyDescent="0.2">
      <c r="B17" s="23">
        <v>13</v>
      </c>
      <c r="C17" s="14" t="s">
        <v>84</v>
      </c>
      <c r="D17" s="23" t="s">
        <v>115</v>
      </c>
      <c r="E17" s="35">
        <v>-6</v>
      </c>
      <c r="F17" s="36">
        <v>-6.2</v>
      </c>
      <c r="G17" s="40" t="s">
        <v>103</v>
      </c>
      <c r="H17" s="15" t="s">
        <v>61</v>
      </c>
      <c r="I17" s="13" t="s">
        <v>116</v>
      </c>
    </row>
    <row r="18" spans="2:9" ht="19.5" customHeight="1" x14ac:dyDescent="0.2">
      <c r="B18" s="32">
        <v>14</v>
      </c>
      <c r="C18" s="8" t="s">
        <v>55</v>
      </c>
      <c r="D18" s="32" t="s">
        <v>121</v>
      </c>
      <c r="E18" s="41">
        <v>4</v>
      </c>
      <c r="F18" s="42">
        <v>5.9</v>
      </c>
      <c r="G18" s="22" t="s">
        <v>119</v>
      </c>
      <c r="H18" s="9" t="s">
        <v>54</v>
      </c>
      <c r="I18" s="13" t="s">
        <v>122</v>
      </c>
    </row>
    <row r="19" spans="2:9" ht="19.5" customHeight="1" x14ac:dyDescent="0.2">
      <c r="B19" s="23">
        <v>15</v>
      </c>
      <c r="C19" s="14" t="s">
        <v>59</v>
      </c>
      <c r="D19" s="23" t="s">
        <v>121</v>
      </c>
      <c r="E19" s="43">
        <v>4</v>
      </c>
      <c r="F19" s="44">
        <v>5.6</v>
      </c>
      <c r="G19" s="22" t="s">
        <v>119</v>
      </c>
      <c r="H19" s="15" t="s">
        <v>58</v>
      </c>
      <c r="I19" s="13" t="s">
        <v>122</v>
      </c>
    </row>
    <row r="20" spans="2:9" ht="19.5" customHeight="1" x14ac:dyDescent="0.2">
      <c r="B20" s="32">
        <v>16</v>
      </c>
      <c r="C20" s="8" t="s">
        <v>62</v>
      </c>
      <c r="D20" s="32" t="s">
        <v>121</v>
      </c>
      <c r="E20" s="41">
        <v>4</v>
      </c>
      <c r="F20" s="42">
        <v>5.0999999999999996</v>
      </c>
      <c r="G20" s="22" t="s">
        <v>119</v>
      </c>
      <c r="H20" s="9" t="s">
        <v>54</v>
      </c>
      <c r="I20" s="13" t="s">
        <v>122</v>
      </c>
    </row>
    <row r="21" spans="2:9" ht="19.5" customHeight="1" x14ac:dyDescent="0.2">
      <c r="B21" s="23">
        <v>17</v>
      </c>
      <c r="C21" s="14" t="s">
        <v>74</v>
      </c>
      <c r="D21" s="23" t="s">
        <v>115</v>
      </c>
      <c r="E21" s="35">
        <v>-4</v>
      </c>
      <c r="F21" s="36">
        <v>-4.2</v>
      </c>
      <c r="G21" s="22" t="s">
        <v>119</v>
      </c>
      <c r="H21" s="15" t="s">
        <v>61</v>
      </c>
      <c r="I21" s="13" t="s">
        <v>120</v>
      </c>
    </row>
    <row r="22" spans="2:9" ht="19.5" customHeight="1" x14ac:dyDescent="0.2">
      <c r="B22" s="32">
        <v>18</v>
      </c>
      <c r="C22" s="8" t="s">
        <v>71</v>
      </c>
      <c r="D22" s="32" t="s">
        <v>121</v>
      </c>
      <c r="E22" s="41">
        <v>3</v>
      </c>
      <c r="F22" s="42">
        <v>3.8</v>
      </c>
      <c r="G22" s="22" t="s">
        <v>119</v>
      </c>
      <c r="H22" s="9" t="s">
        <v>54</v>
      </c>
      <c r="I22" s="13" t="s">
        <v>122</v>
      </c>
    </row>
    <row r="23" spans="2:9" ht="19.5" customHeight="1" x14ac:dyDescent="0.2">
      <c r="B23" s="23">
        <v>19</v>
      </c>
      <c r="C23" s="14" t="s">
        <v>68</v>
      </c>
      <c r="D23" s="23" t="s">
        <v>121</v>
      </c>
      <c r="E23" s="43">
        <v>3</v>
      </c>
      <c r="F23" s="44">
        <v>3.7</v>
      </c>
      <c r="G23" s="22" t="s">
        <v>119</v>
      </c>
      <c r="H23" s="15" t="s">
        <v>54</v>
      </c>
      <c r="I23" s="13" t="s">
        <v>122</v>
      </c>
    </row>
    <row r="24" spans="2:9" ht="19.5" customHeight="1" x14ac:dyDescent="0.2">
      <c r="B24" s="32">
        <v>20</v>
      </c>
      <c r="C24" s="8" t="s">
        <v>69</v>
      </c>
      <c r="D24" s="32" t="s">
        <v>121</v>
      </c>
      <c r="E24" s="41">
        <v>3</v>
      </c>
      <c r="F24" s="42">
        <v>3.5</v>
      </c>
      <c r="G24" s="22" t="s">
        <v>119</v>
      </c>
      <c r="H24" s="9" t="s">
        <v>54</v>
      </c>
      <c r="I24" s="13" t="s">
        <v>122</v>
      </c>
    </row>
  </sheetData>
  <mergeCells count="2">
    <mergeCell ref="B2:I2"/>
    <mergeCell ref="B3:I3"/>
  </mergeCells>
  <pageMargins left="0.75" right="0.75" top="1" bottom="1" header="0.511811023622047" footer="0.511811023622047"/>
  <pageSetup paperSize="9" scale="54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22"/>
  <sheetViews>
    <sheetView showGridLines="0" tabSelected="1" zoomScaleNormal="100" workbookViewId="0">
      <selection activeCell="C22" sqref="B1:H22"/>
    </sheetView>
  </sheetViews>
  <sheetFormatPr baseColWidth="10" defaultColWidth="8.6640625" defaultRowHeight="15" x14ac:dyDescent="0.2"/>
  <cols>
    <col min="1" max="1" width="2" customWidth="1"/>
    <col min="2" max="3" width="32.6640625" customWidth="1"/>
    <col min="4" max="4" width="16" customWidth="1"/>
    <col min="5" max="5" width="20.83203125" customWidth="1"/>
    <col min="6" max="6" width="19.33203125" customWidth="1"/>
    <col min="7" max="7" width="28.33203125" customWidth="1"/>
    <col min="8" max="8" width="2.33203125" customWidth="1"/>
    <col min="9" max="9" width="2" customWidth="1"/>
  </cols>
  <sheetData>
    <row r="1" spans="1:8" ht="7.5" customHeight="1" x14ac:dyDescent="0.2"/>
    <row r="2" spans="1:8" s="24" customFormat="1" ht="39.75" customHeight="1" x14ac:dyDescent="0.25">
      <c r="B2" s="69" t="s">
        <v>123</v>
      </c>
      <c r="C2" s="69"/>
      <c r="D2" s="69"/>
      <c r="E2" s="69"/>
      <c r="F2" s="69"/>
      <c r="G2" s="69"/>
      <c r="H2" s="69"/>
    </row>
    <row r="4" spans="1:8" s="24" customFormat="1" ht="21.75" customHeight="1" x14ac:dyDescent="0.25">
      <c r="B4" s="56" t="s">
        <v>124</v>
      </c>
      <c r="C4" s="56" t="s">
        <v>125</v>
      </c>
      <c r="D4" s="56" t="s">
        <v>126</v>
      </c>
      <c r="E4" s="56" t="s">
        <v>127</v>
      </c>
      <c r="F4" s="56" t="s">
        <v>128</v>
      </c>
      <c r="G4" s="56" t="s">
        <v>129</v>
      </c>
    </row>
    <row r="5" spans="1:8" ht="48" customHeight="1" x14ac:dyDescent="0.2">
      <c r="B5" s="1">
        <v>30</v>
      </c>
      <c r="C5" s="2">
        <v>4</v>
      </c>
      <c r="D5" s="3">
        <v>10</v>
      </c>
      <c r="E5" s="4">
        <v>16</v>
      </c>
      <c r="F5" s="2">
        <v>4</v>
      </c>
      <c r="G5" s="5" t="s">
        <v>130</v>
      </c>
    </row>
    <row r="6" spans="1:8" ht="21.75" customHeight="1" x14ac:dyDescent="0.2"/>
    <row r="8" spans="1:8" ht="24" customHeight="1" x14ac:dyDescent="0.25">
      <c r="A8" s="24"/>
      <c r="B8" s="70" t="s">
        <v>131</v>
      </c>
      <c r="C8" s="70"/>
      <c r="D8" s="70"/>
      <c r="E8" s="70"/>
      <c r="F8" s="70"/>
      <c r="G8" s="70"/>
      <c r="H8" s="70"/>
    </row>
    <row r="9" spans="1:8" ht="24" customHeight="1" x14ac:dyDescent="0.25">
      <c r="A9" s="24"/>
      <c r="B9" s="29" t="s">
        <v>96</v>
      </c>
      <c r="C9" s="29" t="s">
        <v>132</v>
      </c>
      <c r="D9" s="29" t="s">
        <v>133</v>
      </c>
      <c r="E9" s="29" t="s">
        <v>134</v>
      </c>
      <c r="F9" s="29" t="s">
        <v>135</v>
      </c>
      <c r="G9" s="29" t="s">
        <v>136</v>
      </c>
      <c r="H9" s="24"/>
    </row>
    <row r="10" spans="1:8" ht="19.5" customHeight="1" x14ac:dyDescent="0.25">
      <c r="A10" s="24"/>
      <c r="B10" s="45" t="s">
        <v>58</v>
      </c>
      <c r="C10" s="9">
        <v>4</v>
      </c>
      <c r="D10" s="9">
        <v>0</v>
      </c>
      <c r="E10" s="46">
        <v>1</v>
      </c>
      <c r="F10" s="47">
        <v>3</v>
      </c>
      <c r="G10" s="48" t="s">
        <v>137</v>
      </c>
      <c r="H10" s="24"/>
    </row>
    <row r="11" spans="1:8" ht="19.5" customHeight="1" x14ac:dyDescent="0.25">
      <c r="A11" s="24"/>
      <c r="B11" s="49" t="s">
        <v>61</v>
      </c>
      <c r="C11" s="15">
        <v>4</v>
      </c>
      <c r="D11" s="15">
        <v>0</v>
      </c>
      <c r="E11" s="50">
        <v>4</v>
      </c>
      <c r="F11" s="51">
        <v>0</v>
      </c>
      <c r="G11" s="52" t="s">
        <v>138</v>
      </c>
      <c r="H11" s="24"/>
    </row>
    <row r="12" spans="1:8" ht="19.5" customHeight="1" x14ac:dyDescent="0.25">
      <c r="A12" s="24"/>
      <c r="B12" s="45" t="s">
        <v>65</v>
      </c>
      <c r="C12" s="9">
        <v>3</v>
      </c>
      <c r="D12" s="9">
        <v>0</v>
      </c>
      <c r="E12" s="46">
        <v>3</v>
      </c>
      <c r="F12" s="47">
        <v>0</v>
      </c>
      <c r="G12" s="53" t="s">
        <v>138</v>
      </c>
      <c r="H12" s="24"/>
    </row>
    <row r="13" spans="1:8" ht="19.5" customHeight="1" x14ac:dyDescent="0.25">
      <c r="A13" s="24"/>
      <c r="B13" s="49" t="s">
        <v>54</v>
      </c>
      <c r="C13" s="15">
        <v>14</v>
      </c>
      <c r="D13" s="15">
        <v>0</v>
      </c>
      <c r="E13" s="50">
        <v>1</v>
      </c>
      <c r="F13" s="51">
        <v>13</v>
      </c>
      <c r="G13" s="54" t="s">
        <v>137</v>
      </c>
      <c r="H13" s="24"/>
    </row>
    <row r="14" spans="1:8" ht="19.5" customHeight="1" x14ac:dyDescent="0.25">
      <c r="A14" s="24"/>
      <c r="B14" s="45" t="s">
        <v>76</v>
      </c>
      <c r="C14" s="9">
        <v>4</v>
      </c>
      <c r="D14" s="55">
        <v>4</v>
      </c>
      <c r="E14" s="9">
        <v>0</v>
      </c>
      <c r="F14" s="47">
        <v>0</v>
      </c>
      <c r="G14" s="53" t="s">
        <v>138</v>
      </c>
      <c r="H14" s="24"/>
    </row>
    <row r="15" spans="1:8" ht="19.5" customHeight="1" x14ac:dyDescent="0.25">
      <c r="A15" s="24"/>
      <c r="B15" s="49" t="s">
        <v>52</v>
      </c>
      <c r="C15" s="15">
        <v>1</v>
      </c>
      <c r="D15" s="15">
        <v>0</v>
      </c>
      <c r="E15" s="50">
        <v>1</v>
      </c>
      <c r="F15" s="51">
        <v>0</v>
      </c>
      <c r="G15" s="52" t="s">
        <v>138</v>
      </c>
      <c r="H15" s="24"/>
    </row>
    <row r="16" spans="1:8" ht="19" x14ac:dyDescent="0.25">
      <c r="A16" s="24"/>
      <c r="B16" s="24"/>
      <c r="C16" s="24"/>
      <c r="D16" s="24"/>
      <c r="E16" s="24"/>
      <c r="F16" s="24"/>
      <c r="G16" s="24"/>
      <c r="H16" s="24"/>
    </row>
    <row r="17" spans="1:8" ht="19" x14ac:dyDescent="0.25">
      <c r="A17" s="24"/>
      <c r="B17" s="24"/>
      <c r="C17" s="24"/>
      <c r="D17" s="24"/>
      <c r="E17" s="24"/>
      <c r="F17" s="24"/>
      <c r="G17" s="24"/>
      <c r="H17" s="24"/>
    </row>
    <row r="18" spans="1:8" ht="24" customHeight="1" x14ac:dyDescent="0.25">
      <c r="A18" s="24"/>
      <c r="B18" s="70" t="s">
        <v>139</v>
      </c>
      <c r="C18" s="70"/>
      <c r="D18" s="70"/>
      <c r="E18" s="70"/>
      <c r="F18" s="70"/>
      <c r="G18" s="70"/>
      <c r="H18" s="70"/>
    </row>
    <row r="19" spans="1:8" ht="21.75" customHeight="1" x14ac:dyDescent="0.25">
      <c r="A19" s="24"/>
      <c r="B19" s="49" t="s">
        <v>140</v>
      </c>
      <c r="C19" s="57" t="s">
        <v>141</v>
      </c>
      <c r="D19" s="57"/>
      <c r="E19" s="57"/>
      <c r="F19" s="57"/>
      <c r="G19" s="57"/>
      <c r="H19" s="57"/>
    </row>
    <row r="20" spans="1:8" ht="21.75" customHeight="1" x14ac:dyDescent="0.25">
      <c r="A20" s="24"/>
      <c r="B20" s="49" t="s">
        <v>142</v>
      </c>
      <c r="C20" s="57" t="s">
        <v>143</v>
      </c>
      <c r="D20" s="57"/>
      <c r="E20" s="57"/>
      <c r="F20" s="57"/>
      <c r="G20" s="57"/>
      <c r="H20" s="57"/>
    </row>
    <row r="21" spans="1:8" ht="21.75" customHeight="1" x14ac:dyDescent="0.25">
      <c r="A21" s="24"/>
      <c r="B21" s="49" t="s">
        <v>144</v>
      </c>
      <c r="C21" s="57" t="s">
        <v>145</v>
      </c>
      <c r="D21" s="57"/>
      <c r="E21" s="57"/>
      <c r="F21" s="57"/>
      <c r="G21" s="57"/>
      <c r="H21" s="57"/>
    </row>
    <row r="22" spans="1:8" ht="21.75" customHeight="1" x14ac:dyDescent="0.25">
      <c r="A22" s="24"/>
      <c r="B22" s="49" t="s">
        <v>146</v>
      </c>
      <c r="C22" s="57" t="s">
        <v>147</v>
      </c>
      <c r="D22" s="57"/>
      <c r="E22" s="57"/>
      <c r="F22" s="57"/>
      <c r="G22" s="57"/>
      <c r="H22" s="57"/>
    </row>
  </sheetData>
  <mergeCells count="7">
    <mergeCell ref="C21:H21"/>
    <mergeCell ref="C22:H22"/>
    <mergeCell ref="B2:H2"/>
    <mergeCell ref="B8:H8"/>
    <mergeCell ref="B18:H18"/>
    <mergeCell ref="C19:H19"/>
    <mergeCell ref="C20:H20"/>
  </mergeCells>
  <pageMargins left="0.75" right="0.75" top="1" bottom="1" header="0.511811023622047" footer="0.511811023622047"/>
  <pageSetup paperSize="9" scale="80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6</vt:i4>
      </vt:variant>
    </vt:vector>
  </HeadingPairs>
  <TitlesOfParts>
    <vt:vector size="12" baseType="lpstr">
      <vt:lpstr>📋 Anleitung</vt:lpstr>
      <vt:lpstr>📥 Rohdaten</vt:lpstr>
      <vt:lpstr>🧮 TIPR Score</vt:lpstr>
      <vt:lpstr>🚨 Hoarder &amp; Waster</vt:lpstr>
      <vt:lpstr>🏆 Top Prioritäten</vt:lpstr>
      <vt:lpstr>📈 Dashboard</vt:lpstr>
      <vt:lpstr>'🏆 Top Prioritäten'!Druckbereich</vt:lpstr>
      <vt:lpstr>'📈 Dashboard'!Druckbereich</vt:lpstr>
      <vt:lpstr>'📋 Anleitung'!Druckbereich</vt:lpstr>
      <vt:lpstr>'📥 Rohdaten'!Druckbereich</vt:lpstr>
      <vt:lpstr>'🧮 TIPR Score'!Druckbereich</vt:lpstr>
      <vt:lpstr>'🚨 Hoarder &amp; Waster'!Druckbereich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Sven Höhne</cp:lastModifiedBy>
  <cp:revision>0</cp:revision>
  <cp:lastPrinted>2026-03-06T07:58:25Z</cp:lastPrinted>
  <dcterms:created xsi:type="dcterms:W3CDTF">2026-03-06T07:33:10Z</dcterms:created>
  <dcterms:modified xsi:type="dcterms:W3CDTF">2026-03-06T07:58:30Z</dcterms:modified>
  <dc:language>en-US</dc:language>
</cp:coreProperties>
</file>